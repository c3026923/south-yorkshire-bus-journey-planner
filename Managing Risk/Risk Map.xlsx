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/>
  <mc:AlternateContent xmlns:mc="http://schemas.openxmlformats.org/markup-compatibility/2006">
    <mc:Choice Requires="x15">
      <x15ac:absPath xmlns:x15ac="http://schemas.microsoft.com/office/spreadsheetml/2010/11/ac" url="https://sheffieldhallam-my.sharepoint.com/personal/c3009616_hallam_shu_ac_uk/Documents/Year3/Semester 1/Management of IT/Assessment/Risk Documents/"/>
    </mc:Choice>
  </mc:AlternateContent>
  <xr:revisionPtr revIDLastSave="272" documentId="8_{9480781D-1E89-40B9-ACA4-40F921F19DFE}" xr6:coauthVersionLast="47" xr6:coauthVersionMax="47" xr10:uidLastSave="{A813B024-BB6F-47C7-BF80-DFB42504927B}"/>
  <bookViews>
    <workbookView xWindow="-120" yWindow="-120" windowWidth="29040" windowHeight="15840" xr2:uid="{2398F75A-D203-4BB8-945C-05BAC243FA82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G12" i="1"/>
  <c r="G13" i="1"/>
  <c r="G14" i="1"/>
  <c r="G15" i="1"/>
  <c r="G16" i="1"/>
  <c r="G17" i="1"/>
  <c r="G18" i="1"/>
  <c r="G19" i="1"/>
  <c r="G20" i="1"/>
  <c r="G21" i="1"/>
  <c r="G22" i="1"/>
  <c r="H2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<sst xmlns="http://schemas.openxmlformats.org/spreadsheetml/2006/main" count="38" uniqueCount="10">
  <si>
    <t>Risk Map</t>
  </si>
  <si>
    <t>ID</t>
  </si>
  <si>
    <t>Probability</t>
  </si>
  <si>
    <t>Impact</t>
  </si>
  <si>
    <t>Category</t>
  </si>
  <si>
    <t>Rating</t>
  </si>
  <si>
    <t>1 - Low</t>
  </si>
  <si>
    <t>Value</t>
  </si>
  <si>
    <t>5 - High</t>
  </si>
  <si>
    <t>3 - 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</si>
</sst>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3" fillId="2" borderId="4" xfId="0" applyFont="1" applyFill="1" applyBorder="1"/>
    <xf numFmtId="0" fontId="1" fillId="0" borderId="0" xfId="0" applyFont="1"/>
    <xf numFmtId="0" fontId="4" fillId="0" borderId="1" xfId="0" applyFont="1" applyBorder="1"/>
    <xf numFmtId="0" fontId="0" fillId="3" borderId="3" xfId="0" applyFill="1" applyBorder="1"/>
    <xf numFmtId="0" fontId="0" fillId="0" borderId="1" xfId="0" applyBorder="1" applyAlignment="1">
      <alignment vertical="center"/>
    </xf>
  </cellXfs>
  <cellStyles count="1">
    <cellStyle name="Normal" xfId="0" builtinId="0"/>
  </cellStyles>
  <dxfs count="24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theme="1"/>
      </font>
      <fill>
        <patternFill patternType="solid">
          <bgColor rgb="FFC000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C000"/>
        </patternFill>
      </fill>
    </dxf>
    <dxf>
      <font>
        <color theme="1"/>
      </font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FFC00000"/>
      <color rgb="FFFFFF00"/>
      <color rgb="FF00B050"/>
      <color rgb="FFFFC000"/>
      <color rgb="FF92D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5062B2-9A29-4854-B42E-0CE759A90264}" name="RiskMap" displayName="RiskMap" ref="D11:H22" totalsRowShown="0" headerRowDxfId="18" headerRowBorderDxfId="16" tableBorderDxfId="17" totalsRowBorderDxfId="15">
  <autoFilter ref="D11:H22" xr:uid="{805062B2-9A29-4854-B42E-0CE759A9026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CD0AD63-1EAE-4D08-96E3-C971C7A380FB}" name="ID" dataDxfId="14"/>
    <tableColumn id="2" xr3:uid="{096D4E26-518C-458E-A5ED-ECBA7FBDAA91}" name="Probability"/>
    <tableColumn id="3" xr3:uid="{CF36B0B9-9433-4298-B47C-F7D3B52AEBEB}" name="Impact"/>
    <tableColumn id="4" xr3:uid="{AA2D4642-9167-4F0F-B0BD-FA2E7AFD33D5}" name="Category" dataDxfId="13">
      <calculatedColumnFormula>IF(AND(E12="1 - Low",F12="1 - Low"),"Very Low",IF(AND(E12="1 - Low",F12="3 - Medium"),"Quite Low",IF(AND(E12="1 - Low",F12="5 - High"),"Medium",IF(AND(E12="3 - Medium",F12="1 - Low"),"Quite Low",IF(AND(E12="3 - Medium",F12="3 - Medium"),"Medium",IF(AND(E12="3 - Medium",F12="5 - High"),"Quite High",IF(AND(E12="5 - High",F12="1 - Low"),"Medium",IF(AND(E12="5 - High",F12="3 - Medium"),"Quite High",IF(AND(E12="5 - High",E12="5 - High"),"Very High",)))))))))</calculatedColumnFormula>
    </tableColumn>
    <tableColumn id="5" xr3:uid="{F6E2AC4A-D4CC-44D9-AC5E-953312076151}" name="Rating" dataDxfId="12">
      <calculatedColumnFormula>VLOOKUP(E12, ProbTable[], 2,FALSE) * VLOOKUP(F12, ImpactTable[], 2,FALSE)</calculatedColumnFormula>
    </tableColumn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391C3F-13CD-40BC-8A7C-8437DAC08FAC}" name="ProbTable" displayName="ProbTable" ref="J12:K15" totalsRowShown="0" headerRowDxfId="11" headerRowBorderDxfId="9" tableBorderDxfId="10" totalsRowBorderDxfId="8">
  <autoFilter ref="J12:K15" xr:uid="{5E391C3F-13CD-40BC-8A7C-8437DAC08FAC}">
    <filterColumn colId="0" hiddenButton="1"/>
    <filterColumn colId="1" hiddenButton="1"/>
  </autoFilter>
  <tableColumns count="2">
    <tableColumn id="2" xr3:uid="{D2BE9727-A00F-49D2-942E-1042A5DE58D9}" name="Probability" dataDxfId="7">
      <calculatedColumnFormula>M20</calculatedColumnFormula>
    </tableColumn>
    <tableColumn id="3" xr3:uid="{130ABC33-D131-4098-A6F9-125F8A705042}" name="Value" dataDxfId="6"/>
  </tableColumns>
  <tableStyleInfo name="TableStyleMedium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3D19051-87C1-43FB-947A-17FD49DF48C5}" name="ImpactTable" displayName="ImpactTable" ref="J18:K21" totalsRowShown="0" headerRowDxfId="5" headerRowBorderDxfId="3" tableBorderDxfId="4" totalsRowBorderDxfId="2">
  <autoFilter ref="J18:K21" xr:uid="{63D19051-87C1-43FB-947A-17FD49DF48C5}">
    <filterColumn colId="0" hiddenButton="1"/>
    <filterColumn colId="1" hiddenButton="1"/>
  </autoFilter>
  <tableColumns count="2">
    <tableColumn id="2" xr3:uid="{6033D40A-3661-4E49-BA7D-A53CFF1C74A3}" name="Impact" dataDxfId="1">
      <calculatedColumnFormula>M33</calculatedColumnFormula>
    </tableColumn>
    <tableColumn id="3" xr3:uid="{A91ECA2C-A340-4ADC-81C3-5A028422F243}" name="Value" dataDxfId="0"/>
  </tableColumns>
  <tableStyleInfo name="TableStyleMedium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C3C32-47FE-4BD6-BF89-481340983BE5}">
  <dimension ref="D9:K22"/>
  <sheetViews>
    <sheetView tabSelected="1" topLeftCell="A6" workbookViewId="0">
      <selection activeCell="I24" sqref="I24"/>
    </sheetView>
  </sheetViews>
  <sheetFormatPr defaultRowHeight="15"/>
  <cols>
    <col min="4" max="4" width="2.7109375" customWidth="1"/>
    <col min="5" max="5" width="12" customWidth="1"/>
    <col min="6" max="6" width="10.28515625" customWidth="1"/>
    <col min="7" max="7" width="12.42578125" customWidth="1"/>
    <col min="11" max="11" width="10.85546875" customWidth="1"/>
    <col min="12" max="12" width="6.42578125" customWidth="1"/>
    <col min="13" max="13" width="13.7109375" customWidth="1"/>
  </cols>
  <sheetData>
    <row r="9" spans="4:11">
      <c r="D9" s="13" t="s">
        <v>0</v>
      </c>
    </row>
    <row r="11" spans="4:11">
      <c r="D11" s="10" t="s">
        <v>1</v>
      </c>
      <c r="E11" s="11" t="s">
        <v>2</v>
      </c>
      <c r="F11" s="11" t="s">
        <v>3</v>
      </c>
      <c r="G11" s="11" t="s">
        <v>4</v>
      </c>
      <c r="H11" s="12" t="s">
        <v>5</v>
      </c>
    </row>
    <row r="12" spans="4:11">
      <c r="D12" s="1">
        <v>1</v>
      </c>
      <c r="E12" s="14" t="s">
        <v>6</v>
      </c>
      <c r="F12" s="14" t="s">
        <v>6</v>
      </c>
      <c r="G12" s="2" t="str">
        <f t="shared" ref="G12:G22" si="0">IF(AND(E12="1 - Low",F12="1 - Low"),"Very Low",IF(AND(E12="1 - Low",F12="3 - Medium"),"Quite Low",IF(AND(E12="1 - Low",F12="5 - High"),"Medium",IF(AND(E12="3 - Medium",F12="1 - Low"),"Quite Low",IF(AND(E12="3 - Medium",F12="3 - Medium"),"Medium",IF(AND(E12="3 - Medium",F12="5 - High"),"Quite High",IF(AND(E12="5 - High",F12="1 - Low"),"Medium",IF(AND(E12="5 - High",F12="3 - Medium"),"Quite High",IF(AND(E12="5 - High",E12="5 - High"),"Very High",)))))))))</f>
        <v>Very Low</v>
      </c>
      <c r="H12" s="3">
        <f>VLOOKUP(E12, ProbTable[], 2,FALSE) * VLOOKUP(F12, ImpactTable[], 2,FALSE)</f>
        <v>1</v>
      </c>
      <c r="J12" s="3" t="s">
        <v>2</v>
      </c>
      <c r="K12" s="15" t="s">
        <v>7</v>
      </c>
    </row>
    <row r="13" spans="4:11">
      <c r="D13" s="8">
        <v>2</v>
      </c>
      <c r="E13" s="14" t="s">
        <v>8</v>
      </c>
      <c r="F13" s="14" t="s">
        <v>8</v>
      </c>
      <c r="G13" s="7" t="str">
        <f t="shared" si="0"/>
        <v>Very High</v>
      </c>
      <c r="H13" s="9">
        <f>VLOOKUP(E13, ProbTable[], 2,FALSE) * VLOOKUP(F13, ImpactTable[], 2,FALSE)</f>
        <v>25</v>
      </c>
      <c r="J13" s="9" t="s">
        <v>6</v>
      </c>
      <c r="K13" s="7">
        <v>1</v>
      </c>
    </row>
    <row r="14" spans="4:11">
      <c r="D14" s="8">
        <v>3</v>
      </c>
      <c r="E14" s="14" t="s">
        <v>6</v>
      </c>
      <c r="F14" s="14" t="s">
        <v>9</v>
      </c>
      <c r="G14" s="7" t="str">
        <f t="shared" si="0"/>
        <v>Quite Low</v>
      </c>
      <c r="H14" s="9">
        <f>VLOOKUP(E14, ProbTable[], 2,FALSE) * VLOOKUP(F14, ImpactTable[], 2,FALSE)</f>
        <v>3</v>
      </c>
      <c r="J14" s="9" t="s">
        <v>9</v>
      </c>
      <c r="K14" s="7">
        <v>3</v>
      </c>
    </row>
    <row r="15" spans="4:11">
      <c r="D15" s="8">
        <v>4</v>
      </c>
      <c r="E15" s="14" t="s">
        <v>9</v>
      </c>
      <c r="F15" s="14" t="s">
        <v>8</v>
      </c>
      <c r="G15" s="7" t="str">
        <f t="shared" si="0"/>
        <v>Quite High</v>
      </c>
      <c r="H15" s="9">
        <f>VLOOKUP(E15, ProbTable[], 2,FALSE) * VLOOKUP(F15, ImpactTable[], 2,FALSE)</f>
        <v>15</v>
      </c>
      <c r="J15" s="9" t="s">
        <v>8</v>
      </c>
      <c r="K15" s="16">
        <v>5</v>
      </c>
    </row>
    <row r="16" spans="4:11">
      <c r="D16" s="8">
        <v>5</v>
      </c>
      <c r="E16" s="14" t="s">
        <v>6</v>
      </c>
      <c r="F16" s="14" t="s">
        <v>9</v>
      </c>
      <c r="G16" s="7" t="str">
        <f t="shared" si="0"/>
        <v>Quite Low</v>
      </c>
      <c r="H16" s="9">
        <f>VLOOKUP(E16, ProbTable[], 2,FALSE) * VLOOKUP(F16, ImpactTable[], 2,FALSE)</f>
        <v>3</v>
      </c>
    </row>
    <row r="17" spans="4:11">
      <c r="D17" s="8">
        <v>6</v>
      </c>
      <c r="E17" s="14" t="s">
        <v>6</v>
      </c>
      <c r="F17" s="14" t="s">
        <v>8</v>
      </c>
      <c r="G17" s="7" t="str">
        <f t="shared" si="0"/>
        <v>Medium</v>
      </c>
      <c r="H17" s="9">
        <f>VLOOKUP(E17, ProbTable[], 2,FALSE) * VLOOKUP(F17, ImpactTable[], 2,FALSE)</f>
        <v>5</v>
      </c>
    </row>
    <row r="18" spans="4:11">
      <c r="D18" s="4">
        <v>7</v>
      </c>
      <c r="E18" s="14" t="s">
        <v>8</v>
      </c>
      <c r="F18" s="14" t="s">
        <v>9</v>
      </c>
      <c r="G18" s="5" t="str">
        <f t="shared" si="0"/>
        <v>Quite High</v>
      </c>
      <c r="H18" s="6">
        <f>VLOOKUP(E18, ProbTable[], 2,FALSE) * VLOOKUP(F18, ImpactTable[], 2,FALSE)</f>
        <v>15</v>
      </c>
      <c r="J18" s="3" t="s">
        <v>3</v>
      </c>
      <c r="K18" s="15" t="s">
        <v>7</v>
      </c>
    </row>
    <row r="19" spans="4:11">
      <c r="D19" s="8">
        <v>8</v>
      </c>
      <c r="E19" s="14" t="s">
        <v>8</v>
      </c>
      <c r="F19" s="14" t="s">
        <v>8</v>
      </c>
      <c r="G19" s="7" t="str">
        <f t="shared" si="0"/>
        <v>Very High</v>
      </c>
      <c r="H19" s="9">
        <f>VLOOKUP(E19, ProbTable[], 2,FALSE) * VLOOKUP(F19, ImpactTable[], 2,FALSE)</f>
        <v>25</v>
      </c>
      <c r="J19" s="9" t="s">
        <v>6</v>
      </c>
      <c r="K19" s="7">
        <v>1</v>
      </c>
    </row>
    <row r="20" spans="4:11">
      <c r="D20" s="8">
        <v>9</v>
      </c>
      <c r="E20" s="14" t="s">
        <v>6</v>
      </c>
      <c r="F20" s="14" t="s">
        <v>9</v>
      </c>
      <c r="G20" s="7" t="str">
        <f t="shared" si="0"/>
        <v>Quite Low</v>
      </c>
      <c r="H20" s="9">
        <f>VLOOKUP(E20, ProbTable[], 2,FALSE) * VLOOKUP(F20, ImpactTable[], 2,FALSE)</f>
        <v>3</v>
      </c>
      <c r="J20" s="9" t="s">
        <v>9</v>
      </c>
      <c r="K20" s="7">
        <v>3</v>
      </c>
    </row>
    <row r="21" spans="4:11">
      <c r="D21" s="4">
        <v>10</v>
      </c>
      <c r="E21" s="14" t="s">
        <v>9</v>
      </c>
      <c r="F21" s="14" t="s">
        <v>8</v>
      </c>
      <c r="G21" s="5" t="str">
        <f t="shared" si="0"/>
        <v>Quite High</v>
      </c>
      <c r="H21" s="6">
        <f>VLOOKUP(E21, ProbTable[], 2,FALSE) * VLOOKUP(F21, ImpactTable[], 2,FALSE)</f>
        <v>15</v>
      </c>
      <c r="J21" s="9" t="s">
        <v>8</v>
      </c>
      <c r="K21" s="7">
        <v>5</v>
      </c>
    </row>
    <row r="22" spans="4:11">
      <c r="D22" s="4">
        <v>11</v>
      </c>
      <c r="E22" s="14" t="s">
        <v>6</v>
      </c>
      <c r="F22" s="14" t="s">
        <v>6</v>
      </c>
      <c r="G22" s="5" t="str">
        <f t="shared" si="0"/>
        <v>Very Low</v>
      </c>
      <c r="H22" s="6">
        <f>VLOOKUP(E22, ProbTable[], 2,FALSE) * VLOOKUP(F22, ImpactTable[], 2,FALSE)</f>
        <v>1</v>
      </c>
    </row>
  </sheetData>
  <phoneticPr fontId="2" type="noConversion"/>
  <conditionalFormatting sqref="M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:G22">
    <cfRule type="containsText" dxfId="23" priority="5" operator="containsText" text="Quite Low">
      <formula>NOT(ISERROR(SEARCH("Quite Low",G12)))</formula>
    </cfRule>
  </conditionalFormatting>
  <conditionalFormatting sqref="G12:G22">
    <cfRule type="containsText" dxfId="22" priority="4" operator="containsText" text="Quite High">
      <formula>NOT(ISERROR(SEARCH("Quite High",G12)))</formula>
    </cfRule>
  </conditionalFormatting>
  <conditionalFormatting sqref="G12:G22">
    <cfRule type="containsText" dxfId="21" priority="3" operator="containsText" text="Very Low">
      <formula>NOT(ISERROR(SEARCH("Very Low",G12)))</formula>
    </cfRule>
  </conditionalFormatting>
  <conditionalFormatting sqref="G12:G22">
    <cfRule type="containsText" dxfId="20" priority="2" operator="containsText" text="Medium">
      <formula>NOT(ISERROR(SEARCH("Medium",G12)))</formula>
    </cfRule>
  </conditionalFormatting>
  <conditionalFormatting sqref="G12:G22">
    <cfRule type="containsText" dxfId="19" priority="1" operator="containsText" text="Very High">
      <formula>NOT(ISERROR(SEARCH("Very High",G12)))</formula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Morris, Javani (Student)</dc:creator>
  <cp:keywords/>
  <dc:description/>
  <cp:lastModifiedBy>Morris, Javani (Student)</cp:lastModifiedBy>
  <cp:revision/>
  <dcterms:created xsi:type="dcterms:W3CDTF">2025-10-15T08:35:54Z</dcterms:created>
  <dcterms:modified xsi:type="dcterms:W3CDTF">2025-10-22T09:18:58Z</dcterms:modified>
  <cp:category/>
  <cp:contentStatus/>
</cp:coreProperties>
</file>
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sheffieldhallam-my.sharepoint.com/personal/c3026923_hallam_shu_ac_uk/Documents/year3/management-of-it-projects/assessment/Week 4 Estimation and Managing Risk/"/>
    </mc:Choice>
  </mc:AlternateContent>
  <xr:revisionPtr revIDLastSave="466" documentId="8_{9480781D-1E89-40B9-ACA4-40F921F19DFE}" xr6:coauthVersionLast="47" xr6:coauthVersionMax="47" xr10:uidLastSave="{6A3DE80C-321A-4182-A16C-719C7F461A6F}"/>
  <bookViews>
    <workbookView xWindow="-120" yWindow="-120" windowWidth="38640" windowHeight="21120" xr2:uid="{2398F75A-D203-4BB8-945C-05BAC243FA82}"/>
  </bookViews>
  <sheets>
    <sheet name="Risk Map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" i="1" l="1"/>
  <c r="E11" i="1"/>
  <c r="E12" i="1"/>
  <c r="E13" i="1"/>
  <c r="E14" i="1"/>
  <c r="E15" i="1"/>
  <c r="E16" i="1"/>
  <c r="E17" i="1"/>
  <c r="E18" i="1"/>
  <c r="E19" i="1"/>
  <c r="E20" i="1"/>
  <c r="E21" i="1"/>
  <c r="F21" i="1"/>
  <c r="F12" i="1"/>
  <c r="F13" i="1"/>
  <c r="F14" i="1"/>
  <c r="F15" i="1"/>
  <c r="F16" i="1"/>
  <c r="F17" i="1"/>
  <c r="F18" i="1"/>
  <c r="F19" i="1"/>
  <c r="F20" i="1"/>
</calcChain>
</file>

<file path=xl/sharedStrings.xml><?xml version="1.0" encoding="utf-8"?>
<sst xmlns="http://schemas.openxmlformats.org/spreadsheetml/2006/main" count="52" uniqueCount="16">
  <si>
    <t>Risk Map</t>
  </si>
  <si>
    <t>ID</t>
  </si>
  <si>
    <t>Probability</t>
  </si>
  <si>
    <t>Impact</t>
  </si>
  <si>
    <t>Category</t>
  </si>
  <si>
    <t>Rating</t>
  </si>
  <si>
    <t>1 - Low</t>
  </si>
  <si>
    <t>Value</t>
  </si>
  <si>
    <t>5 - High</t>
  </si>
  <si>
    <t>3 - Medium</t>
  </si>
  <si>
    <t>Risks: 
1, 11</t>
  </si>
  <si>
    <t>Risks: 
3, 5, 9</t>
  </si>
  <si>
    <t>Risks: 
6</t>
  </si>
  <si>
    <t>Risks:
4, 10</t>
  </si>
  <si>
    <t>Risks:
7</t>
  </si>
  <si>
    <t>Risks:
2,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</si>
</sst>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28"/>
      <color theme="1"/>
      <name val="Aptos Narrow"/>
      <family val="2"/>
      <scheme val="minor"/>
    </font>
    <font>
      <sz val="14"/>
      <color theme="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1" xfId="0" applyBorder="1"/>
    <xf numFmtId="0" fontId="0" fillId="0" borderId="8" xfId="0" applyBorder="1"/>
    <xf numFmtId="0" fontId="0" fillId="0" borderId="9" xfId="0" applyBorder="1"/>
    <xf numFmtId="0" fontId="3" fillId="2" borderId="2" xfId="0" applyFont="1" applyFill="1" applyBorder="1"/>
    <xf numFmtId="0" fontId="3" fillId="2" borderId="3" xfId="0" applyFont="1" applyFill="1" applyBorder="1"/>
    <xf numFmtId="0" fontId="3" fillId="2" borderId="4" xfId="0" applyFont="1" applyFill="1" applyBorder="1"/>
    <xf numFmtId="0" fontId="1" fillId="0" borderId="0" xfId="0" applyFont="1"/>
    <xf numFmtId="0" fontId="4" fillId="0" borderId="1" xfId="0" applyFont="1" applyBorder="1"/>
    <xf numFmtId="0" fontId="0" fillId="3" borderId="3" xfId="0" applyFill="1" applyBorder="1"/>
    <xf numFmtId="0" fontId="0" fillId="0" borderId="1" xfId="0" applyBorder="1" applyAlignment="1">
      <alignment vertical="center"/>
    </xf>
    <xf numFmtId="0" fontId="0" fillId="0" borderId="0" xfId="0" applyBorder="1"/>
    <xf numFmtId="0" fontId="0" fillId="3" borderId="4" xfId="0" applyFill="1" applyBorder="1"/>
    <xf numFmtId="0" fontId="6" fillId="0" borderId="0" xfId="0" applyFont="1" applyBorder="1" applyAlignment="1">
      <alignment horizontal="center" vertical="center" textRotation="90"/>
    </xf>
    <xf numFmtId="0" fontId="6" fillId="0" borderId="0" xfId="0" applyFont="1" applyBorder="1" applyAlignment="1">
      <alignment horizontal="center" vertical="center" textRotation="90"/>
    </xf>
    <xf numFmtId="0" fontId="0" fillId="0" borderId="1" xfId="0" applyBorder="1"/>
    <xf numFmtId="0" fontId="0" fillId="0" borderId="9" xfId="0" applyBorder="1"/>
    <xf numFmtId="0" fontId="0" fillId="0" borderId="3" xfId="0" applyBorder="1"/>
    <xf numFmtId="0" fontId="6" fillId="0" borderId="10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7" borderId="11" xfId="0" applyFont="1" applyFill="1" applyBorder="1" applyAlignment="1">
      <alignment horizontal="center" vertical="center" wrapText="1"/>
    </xf>
    <xf numFmtId="0" fontId="5" fillId="6" borderId="12" xfId="0" applyFont="1" applyFill="1" applyBorder="1" applyAlignment="1">
      <alignment horizontal="center" vertical="center" wrapText="1"/>
    </xf>
    <xf numFmtId="0" fontId="7" fillId="8" borderId="13" xfId="0" applyFont="1" applyFill="1" applyBorder="1" applyAlignment="1">
      <alignment horizontal="center" vertical="center" wrapText="1"/>
    </xf>
    <xf numFmtId="0" fontId="5" fillId="7" borderId="14" xfId="0" applyFont="1" applyFill="1" applyBorder="1" applyAlignment="1">
      <alignment horizontal="center" vertical="center"/>
    </xf>
    <xf numFmtId="0" fontId="5" fillId="6" borderId="0" xfId="0" applyFont="1" applyFill="1" applyBorder="1" applyAlignment="1">
      <alignment horizontal="center" vertical="center"/>
    </xf>
    <xf numFmtId="0" fontId="7" fillId="8" borderId="15" xfId="0" applyFont="1" applyFill="1" applyBorder="1" applyAlignment="1">
      <alignment horizontal="center" vertical="center"/>
    </xf>
    <xf numFmtId="0" fontId="5" fillId="5" borderId="14" xfId="0" applyFont="1" applyFill="1" applyBorder="1" applyAlignment="1">
      <alignment horizontal="center" vertical="center" wrapText="1"/>
    </xf>
    <xf numFmtId="0" fontId="5" fillId="7" borderId="0" xfId="0" applyFont="1" applyFill="1" applyBorder="1" applyAlignment="1">
      <alignment horizontal="center" vertical="center"/>
    </xf>
    <xf numFmtId="0" fontId="5" fillId="6" borderId="15" xfId="0" applyFont="1" applyFill="1" applyBorder="1" applyAlignment="1">
      <alignment horizontal="center" vertical="center" wrapText="1"/>
    </xf>
    <xf numFmtId="0" fontId="5" fillId="5" borderId="14" xfId="0" applyFont="1" applyFill="1" applyBorder="1" applyAlignment="1">
      <alignment horizontal="center" vertical="center"/>
    </xf>
    <xf numFmtId="0" fontId="5" fillId="6" borderId="15" xfId="0" applyFont="1" applyFill="1" applyBorder="1" applyAlignment="1">
      <alignment horizontal="center" vertical="center"/>
    </xf>
    <xf numFmtId="0" fontId="5" fillId="4" borderId="14" xfId="0" applyFont="1" applyFill="1" applyBorder="1" applyAlignment="1">
      <alignment horizontal="center" vertical="center" wrapText="1"/>
    </xf>
    <xf numFmtId="0" fontId="5" fillId="5" borderId="0" xfId="0" applyFont="1" applyFill="1" applyBorder="1" applyAlignment="1">
      <alignment horizontal="center" vertical="center"/>
    </xf>
    <xf numFmtId="0" fontId="5" fillId="7" borderId="15" xfId="0" applyFont="1" applyFill="1" applyBorder="1" applyAlignment="1">
      <alignment horizontal="center" vertical="center"/>
    </xf>
    <xf numFmtId="0" fontId="5" fillId="4" borderId="14" xfId="0" applyFont="1" applyFill="1" applyBorder="1" applyAlignment="1">
      <alignment horizontal="center" vertical="center"/>
    </xf>
    <xf numFmtId="0" fontId="5" fillId="4" borderId="16" xfId="0" applyFont="1" applyFill="1" applyBorder="1" applyAlignment="1">
      <alignment horizontal="center" vertical="center"/>
    </xf>
    <xf numFmtId="0" fontId="5" fillId="5" borderId="17" xfId="0" applyFont="1" applyFill="1" applyBorder="1" applyAlignment="1">
      <alignment horizontal="center" vertical="center"/>
    </xf>
    <xf numFmtId="0" fontId="5" fillId="7" borderId="18" xfId="0" applyFont="1" applyFill="1" applyBorder="1" applyAlignment="1">
      <alignment horizontal="center" vertical="center"/>
    </xf>
  </cellXfs>
  <cellStyles count="1">
    <cellStyle name="Normal" xfId="0" builtinId="0"/>
  </cellStyles>
  <dxfs count="87"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theme="1"/>
      </font>
      <fill>
        <patternFill patternType="solid">
          <bgColor rgb="FFFFC00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FFFF00"/>
        </patternFill>
      </fill>
    </dxf>
    <dxf>
      <font>
        <color theme="1"/>
      </font>
      <fill>
        <patternFill patternType="solid"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theme="1"/>
      </font>
      <fill>
        <patternFill patternType="solid">
          <bgColor rgb="FFFFC00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FFFF00"/>
        </patternFill>
      </fill>
    </dxf>
    <dxf>
      <font>
        <color theme="1"/>
      </font>
      <fill>
        <patternFill patternType="solid"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theme="1"/>
      </font>
      <fill>
        <patternFill patternType="solid">
          <bgColor rgb="FFFFC00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FFFF00"/>
        </patternFill>
      </fill>
    </dxf>
    <dxf>
      <font>
        <color theme="1"/>
      </font>
      <fill>
        <patternFill patternType="solid">
          <bgColor rgb="FFC000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theme="1"/>
      </font>
      <fill>
        <patternFill patternType="solid">
          <bgColor rgb="FFFFC00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FFFF00"/>
        </patternFill>
      </fill>
    </dxf>
    <dxf>
      <font>
        <color theme="1"/>
      </font>
      <fill>
        <patternFill patternType="solid">
          <bgColor rgb="FFC0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theme="1"/>
      </font>
      <fill>
        <patternFill patternType="solid">
          <bgColor rgb="FFFFC00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FFFF00"/>
        </patternFill>
      </fill>
    </dxf>
    <dxf>
      <font>
        <color theme="1"/>
      </font>
      <fill>
        <patternFill patternType="solid"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theme="1"/>
      </font>
      <fill>
        <patternFill patternType="solid">
          <bgColor rgb="FFFFC00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FFFF00"/>
        </patternFill>
      </fill>
    </dxf>
    <dxf>
      <font>
        <color theme="1"/>
      </font>
      <fill>
        <patternFill patternType="solid">
          <bgColor rgb="FFC00000"/>
        </patternFill>
      </fill>
    </dxf>
    <dxf>
      <fill>
        <patternFill>
          <bgColor rgb="FF92D05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theme="1"/>
      </font>
      <fill>
        <patternFill patternType="solid">
          <bgColor rgb="FFFFC00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FFFF00"/>
        </patternFill>
      </fill>
    </dxf>
    <dxf>
      <font>
        <color theme="1"/>
      </font>
      <fill>
        <patternFill patternType="solid">
          <bgColor rgb="FFC0000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theme="1"/>
      </font>
      <fill>
        <patternFill patternType="solid">
          <bgColor rgb="FFFFC00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FFFF00"/>
        </patternFill>
      </fill>
    </dxf>
    <dxf>
      <font>
        <color theme="1"/>
      </font>
      <fill>
        <patternFill patternType="solid">
          <bgColor rgb="FFC00000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FFC000"/>
      <color rgb="FFC00000"/>
      <color rgb="FFFFFF00"/>
      <color rgb="FF00B050"/>
      <color rgb="FF92D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05062B2-9A29-4854-B42E-0CE759A90264}" name="RiskMap" displayName="RiskMap" ref="B10:F21" totalsRowShown="0" headerRowDxfId="86" headerRowBorderDxfId="85" tableBorderDxfId="84" totalsRowBorderDxfId="83">
  <autoFilter ref="B10:F21" xr:uid="{805062B2-9A29-4854-B42E-0CE759A90264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BCD0AD63-1EAE-4D08-96E3-C971C7A380FB}" name="ID" dataDxfId="82"/>
    <tableColumn id="2" xr3:uid="{096D4E26-518C-458E-A5ED-ECBA7FBDAA91}" name="Probability"/>
    <tableColumn id="3" xr3:uid="{CF36B0B9-9433-4298-B47C-F7D3B52AEBEB}" name="Impact"/>
    <tableColumn id="4" xr3:uid="{AA2D4642-9167-4F0F-B0BD-FA2E7AFD33D5}" name="Category" dataDxfId="81">
      <calculatedColumnFormula>IF(AND(C11="1 - Low",D11="1 - Low"),"Very Low",IF(AND(C11="1 - Low",D11="3 - Medium"),"Quite Low",IF(AND(C11="1 - Low",D11="5 - High"),"Medium",IF(AND(C11="3 - Medium",D11="1 - Low"),"Quite Low",IF(AND(C11="3 - Medium",D11="3 - Medium"),"Medium",IF(AND(C11="3 - Medium",D11="5 - High"),"Quite High",IF(AND(C11="5 - High",D11="1 - Low"),"Medium",IF(AND(C11="5 - High",D11="3 - Medium"),"Quite High",IF(AND(C11="5 - High",C11="5 - High"),"Very High",)))))))))</calculatedColumnFormula>
    </tableColumn>
    <tableColumn id="5" xr3:uid="{F6E2AC4A-D4CC-44D9-AC5E-953312076151}" name="Rating" dataDxfId="80">
      <calculatedColumnFormula>VLOOKUP(C11, ProbTable[], 2,FALSE) * VLOOKUP(D11, ImpactTable[], 2,FALSE)</calculatedColumnFormula>
    </tableColumn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E391C3F-13CD-40BC-8A7C-8437DAC08FAC}" name="ProbTable" displayName="ProbTable" ref="H11:I14" totalsRowShown="0" headerRowDxfId="79" headerRowBorderDxfId="78" tableBorderDxfId="77" totalsRowBorderDxfId="76">
  <autoFilter ref="H11:I14" xr:uid="{5E391C3F-13CD-40BC-8A7C-8437DAC08FAC}">
    <filterColumn colId="0" hiddenButton="1"/>
    <filterColumn colId="1" hiddenButton="1"/>
  </autoFilter>
  <tableColumns count="2">
    <tableColumn id="2" xr3:uid="{D2BE9727-A00F-49D2-942E-1042A5DE58D9}" name="Probability" dataDxfId="75">
      <calculatedColumnFormula>N19</calculatedColumnFormula>
    </tableColumn>
    <tableColumn id="3" xr3:uid="{130ABC33-D131-4098-A6F9-125F8A705042}" name="Value" dataDxfId="74"/>
  </tableColumns>
  <tableStyleInfo name="TableStyleMedium1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3D19051-87C1-43FB-947A-17FD49DF48C5}" name="ImpactTable" displayName="ImpactTable" ref="H17:I20" totalsRowShown="0" headerRowDxfId="73" headerRowBorderDxfId="72" tableBorderDxfId="71" totalsRowBorderDxfId="70">
  <autoFilter ref="H17:I20" xr:uid="{63D19051-87C1-43FB-947A-17FD49DF48C5}">
    <filterColumn colId="0" hiddenButton="1"/>
    <filterColumn colId="1" hiddenButton="1"/>
  </autoFilter>
  <tableColumns count="2">
    <tableColumn id="2" xr3:uid="{6033D40A-3661-4E49-BA7D-A53CFF1C74A3}" name="Impact" dataDxfId="69">
      <calculatedColumnFormula>M33</calculatedColumnFormula>
    </tableColumn>
    <tableColumn id="3" xr3:uid="{A91ECA2C-A340-4ADC-81C3-5A028422F243}" name="Value" dataDxfId="68"/>
  </tableColumns>
  <tableStyleInfo name="TableStyleMedium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C3C32-47FE-4BD6-BF89-481340983BE5}">
  <dimension ref="B8:Q23"/>
  <sheetViews>
    <sheetView tabSelected="1" zoomScaleNormal="100" workbookViewId="0">
      <selection activeCell="T19" sqref="T19"/>
    </sheetView>
  </sheetViews>
  <sheetFormatPr defaultRowHeight="15" x14ac:dyDescent="0.25"/>
  <cols>
    <col min="2" max="2" width="9" bestFit="1" customWidth="1"/>
    <col min="3" max="4" width="10.7109375" bestFit="1" customWidth="1"/>
    <col min="5" max="5" width="12" customWidth="1"/>
    <col min="6" max="6" width="10.28515625" customWidth="1"/>
    <col min="7" max="7" width="12.42578125" customWidth="1"/>
    <col min="8" max="8" width="10.7109375" bestFit="1" customWidth="1"/>
    <col min="10" max="10" width="10.7109375" bestFit="1" customWidth="1"/>
    <col min="11" max="11" width="7.7109375" customWidth="1"/>
    <col min="12" max="12" width="10.7109375" customWidth="1"/>
    <col min="13" max="15" width="15.7109375" customWidth="1"/>
  </cols>
  <sheetData>
    <row r="8" spans="2:17" x14ac:dyDescent="0.25">
      <c r="B8" s="13" t="s">
        <v>0</v>
      </c>
      <c r="O8" s="17"/>
      <c r="P8" s="17"/>
    </row>
    <row r="9" spans="2:17" ht="15.75" thickBot="1" x14ac:dyDescent="0.3">
      <c r="O9" s="17"/>
      <c r="P9" s="17"/>
    </row>
    <row r="10" spans="2:17" x14ac:dyDescent="0.25">
      <c r="B10" s="10" t="s">
        <v>1</v>
      </c>
      <c r="C10" s="11" t="s">
        <v>2</v>
      </c>
      <c r="D10" s="11" t="s">
        <v>3</v>
      </c>
      <c r="E10" s="11" t="s">
        <v>4</v>
      </c>
      <c r="F10" s="12" t="s">
        <v>5</v>
      </c>
      <c r="J10" s="17"/>
      <c r="K10" s="20" t="s">
        <v>3</v>
      </c>
      <c r="L10" s="22" t="s">
        <v>8</v>
      </c>
      <c r="M10" s="26" t="s">
        <v>12</v>
      </c>
      <c r="N10" s="27" t="s">
        <v>13</v>
      </c>
      <c r="O10" s="28" t="s">
        <v>15</v>
      </c>
      <c r="P10" s="17"/>
      <c r="Q10" s="17"/>
    </row>
    <row r="11" spans="2:17" ht="15" customHeight="1" x14ac:dyDescent="0.25">
      <c r="B11" s="1">
        <v>1</v>
      </c>
      <c r="C11" s="14" t="s">
        <v>6</v>
      </c>
      <c r="D11" s="14" t="s">
        <v>6</v>
      </c>
      <c r="E11" s="2" t="str">
        <f t="shared" ref="E11:E21" si="0">IF(AND(C11="1 - Low",D11="1 - Low"),"Very Low",IF(AND(C11="1 - Low",D11="3 - Medium"),"Quite Low",IF(AND(C11="1 - Low",D11="5 - High"),"Medium",IF(AND(C11="3 - Medium",D11="1 - Low"),"Quite Low",IF(AND(C11="3 - Medium",D11="3 - Medium"),"Medium",IF(AND(C11="3 - Medium",D11="5 - High"),"Quite High",IF(AND(C11="5 - High",D11="1 - Low"),"Medium",IF(AND(C11="5 - High",D11="3 - Medium"),"Quite High",IF(AND(C11="5 - High",C11="5 - High"),"Very High",)))))))))</f>
        <v>Very Low</v>
      </c>
      <c r="F11" s="3">
        <f>VLOOKUP(C11, ProbTable[], 2,FALSE) * VLOOKUP(D11, ImpactTable[], 2,FALSE)</f>
        <v>1</v>
      </c>
      <c r="H11" s="3" t="s">
        <v>2</v>
      </c>
      <c r="I11" s="18" t="s">
        <v>7</v>
      </c>
      <c r="J11" s="17"/>
      <c r="K11" s="20"/>
      <c r="L11" s="22"/>
      <c r="M11" s="29"/>
      <c r="N11" s="30"/>
      <c r="O11" s="31"/>
      <c r="P11" s="17"/>
      <c r="Q11" s="17"/>
    </row>
    <row r="12" spans="2:17" x14ac:dyDescent="0.25">
      <c r="B12" s="8">
        <v>2</v>
      </c>
      <c r="C12" s="14" t="s">
        <v>8</v>
      </c>
      <c r="D12" s="14" t="s">
        <v>8</v>
      </c>
      <c r="E12" s="7" t="str">
        <f t="shared" si="0"/>
        <v>Very High</v>
      </c>
      <c r="F12" s="9">
        <f>VLOOKUP(C12, ProbTable[], 2,FALSE) * VLOOKUP(D12, ImpactTable[], 2,FALSE)</f>
        <v>25</v>
      </c>
      <c r="H12" s="9" t="s">
        <v>6</v>
      </c>
      <c r="I12" s="7">
        <v>1</v>
      </c>
      <c r="K12" s="20"/>
      <c r="L12" s="22"/>
      <c r="M12" s="29"/>
      <c r="N12" s="30"/>
      <c r="O12" s="31"/>
      <c r="P12" s="17"/>
      <c r="Q12" s="17"/>
    </row>
    <row r="13" spans="2:17" x14ac:dyDescent="0.25">
      <c r="B13" s="8">
        <v>3</v>
      </c>
      <c r="C13" s="14" t="s">
        <v>6</v>
      </c>
      <c r="D13" s="14" t="s">
        <v>9</v>
      </c>
      <c r="E13" s="7" t="str">
        <f t="shared" si="0"/>
        <v>Quite Low</v>
      </c>
      <c r="F13" s="9">
        <f>VLOOKUP(C13, ProbTable[], 2,FALSE) * VLOOKUP(D13, ImpactTable[], 2,FALSE)</f>
        <v>3</v>
      </c>
      <c r="H13" s="9" t="s">
        <v>9</v>
      </c>
      <c r="I13" s="7">
        <v>3</v>
      </c>
      <c r="K13" s="20"/>
      <c r="L13" s="22" t="s">
        <v>9</v>
      </c>
      <c r="M13" s="32" t="s">
        <v>11</v>
      </c>
      <c r="N13" s="33"/>
      <c r="O13" s="34" t="s">
        <v>14</v>
      </c>
      <c r="P13" s="17"/>
      <c r="Q13" s="17"/>
    </row>
    <row r="14" spans="2:17" x14ac:dyDescent="0.25">
      <c r="B14" s="8">
        <v>4</v>
      </c>
      <c r="C14" s="14" t="s">
        <v>9</v>
      </c>
      <c r="D14" s="14" t="s">
        <v>8</v>
      </c>
      <c r="E14" s="7" t="str">
        <f t="shared" si="0"/>
        <v>Quite High</v>
      </c>
      <c r="F14" s="9">
        <f>VLOOKUP(C14, ProbTable[], 2,FALSE) * VLOOKUP(D14, ImpactTable[], 2,FALSE)</f>
        <v>15</v>
      </c>
      <c r="H14" s="9" t="s">
        <v>8</v>
      </c>
      <c r="I14" s="16">
        <v>5</v>
      </c>
      <c r="K14" s="20"/>
      <c r="L14" s="22"/>
      <c r="M14" s="35"/>
      <c r="N14" s="33"/>
      <c r="O14" s="36"/>
      <c r="P14" s="17"/>
      <c r="Q14" s="17"/>
    </row>
    <row r="15" spans="2:17" x14ac:dyDescent="0.25">
      <c r="B15" s="8">
        <v>5</v>
      </c>
      <c r="C15" s="14" t="s">
        <v>6</v>
      </c>
      <c r="D15" s="14" t="s">
        <v>9</v>
      </c>
      <c r="E15" s="7" t="str">
        <f t="shared" si="0"/>
        <v>Quite Low</v>
      </c>
      <c r="F15" s="9">
        <f>VLOOKUP(C15, ProbTable[], 2,FALSE) * VLOOKUP(D15, ImpactTable[], 2,FALSE)</f>
        <v>3</v>
      </c>
      <c r="K15" s="20"/>
      <c r="L15" s="22"/>
      <c r="M15" s="35"/>
      <c r="N15" s="33"/>
      <c r="O15" s="36"/>
      <c r="P15" s="17"/>
      <c r="Q15" s="17"/>
    </row>
    <row r="16" spans="2:17" x14ac:dyDescent="0.25">
      <c r="B16" s="8">
        <v>6</v>
      </c>
      <c r="C16" s="14" t="s">
        <v>6</v>
      </c>
      <c r="D16" s="14" t="s">
        <v>8</v>
      </c>
      <c r="E16" s="7" t="str">
        <f t="shared" si="0"/>
        <v>Medium</v>
      </c>
      <c r="F16" s="9">
        <f>VLOOKUP(C16, ProbTable[], 2,FALSE) * VLOOKUP(D16, ImpactTable[], 2,FALSE)</f>
        <v>5</v>
      </c>
      <c r="K16" s="20"/>
      <c r="L16" s="22" t="s">
        <v>6</v>
      </c>
      <c r="M16" s="37" t="s">
        <v>10</v>
      </c>
      <c r="N16" s="38"/>
      <c r="O16" s="39"/>
      <c r="P16" s="17"/>
      <c r="Q16" s="17"/>
    </row>
    <row r="17" spans="2:17" x14ac:dyDescent="0.25">
      <c r="B17" s="4">
        <v>7</v>
      </c>
      <c r="C17" s="14" t="s">
        <v>8</v>
      </c>
      <c r="D17" s="14" t="s">
        <v>9</v>
      </c>
      <c r="E17" s="5" t="str">
        <f t="shared" si="0"/>
        <v>Quite High</v>
      </c>
      <c r="F17" s="6">
        <f>VLOOKUP(C17, ProbTable[], 2,FALSE) * VLOOKUP(D17, ImpactTable[], 2,FALSE)</f>
        <v>15</v>
      </c>
      <c r="H17" s="3" t="s">
        <v>3</v>
      </c>
      <c r="I17" s="15" t="s">
        <v>7</v>
      </c>
      <c r="K17" s="20"/>
      <c r="L17" s="22"/>
      <c r="M17" s="40"/>
      <c r="N17" s="38"/>
      <c r="O17" s="39"/>
      <c r="P17" s="17"/>
      <c r="Q17" s="17"/>
    </row>
    <row r="18" spans="2:17" ht="15.75" thickBot="1" x14ac:dyDescent="0.3">
      <c r="B18" s="8">
        <v>8</v>
      </c>
      <c r="C18" s="14" t="s">
        <v>8</v>
      </c>
      <c r="D18" s="14" t="s">
        <v>8</v>
      </c>
      <c r="E18" s="7" t="str">
        <f t="shared" si="0"/>
        <v>Very High</v>
      </c>
      <c r="F18" s="9">
        <f>VLOOKUP(C18, ProbTable[], 2,FALSE) * VLOOKUP(D18, ImpactTable[], 2,FALSE)</f>
        <v>25</v>
      </c>
      <c r="H18" s="9" t="s">
        <v>6</v>
      </c>
      <c r="I18" s="7">
        <v>1</v>
      </c>
      <c r="K18" s="20"/>
      <c r="L18" s="22"/>
      <c r="M18" s="41"/>
      <c r="N18" s="42"/>
      <c r="O18" s="43"/>
      <c r="P18" s="17"/>
      <c r="Q18" s="17"/>
    </row>
    <row r="19" spans="2:17" x14ac:dyDescent="0.25">
      <c r="B19" s="8">
        <v>9</v>
      </c>
      <c r="C19" s="14" t="s">
        <v>6</v>
      </c>
      <c r="D19" s="14" t="s">
        <v>9</v>
      </c>
      <c r="E19" s="7" t="str">
        <f t="shared" si="0"/>
        <v>Quite Low</v>
      </c>
      <c r="F19" s="9">
        <f>VLOOKUP(C19, ProbTable[], 2,FALSE) * VLOOKUP(D19, ImpactTable[], 2,FALSE)</f>
        <v>3</v>
      </c>
      <c r="H19" s="9" t="s">
        <v>9</v>
      </c>
      <c r="I19" s="7">
        <v>3</v>
      </c>
      <c r="K19" s="19"/>
      <c r="L19" s="17"/>
      <c r="M19" s="23" t="s">
        <v>6</v>
      </c>
      <c r="N19" s="23" t="s">
        <v>9</v>
      </c>
      <c r="O19" s="23" t="s">
        <v>8</v>
      </c>
      <c r="P19" s="17"/>
    </row>
    <row r="20" spans="2:17" x14ac:dyDescent="0.25">
      <c r="B20" s="4">
        <v>10</v>
      </c>
      <c r="C20" s="14" t="s">
        <v>9</v>
      </c>
      <c r="D20" s="14" t="s">
        <v>8</v>
      </c>
      <c r="E20" s="5" t="str">
        <f t="shared" si="0"/>
        <v>Quite High</v>
      </c>
      <c r="F20" s="6">
        <f>VLOOKUP(C20, ProbTable[], 2,FALSE) * VLOOKUP(D20, ImpactTable[], 2,FALSE)</f>
        <v>15</v>
      </c>
      <c r="H20" s="9" t="s">
        <v>8</v>
      </c>
      <c r="I20" s="7">
        <v>5</v>
      </c>
      <c r="K20" s="17"/>
      <c r="L20" s="17"/>
      <c r="M20" s="21"/>
      <c r="N20" s="21"/>
      <c r="O20" s="21"/>
      <c r="P20" s="17"/>
    </row>
    <row r="21" spans="2:17" x14ac:dyDescent="0.25">
      <c r="B21" s="4">
        <v>11</v>
      </c>
      <c r="C21" s="14" t="s">
        <v>6</v>
      </c>
      <c r="D21" s="14" t="s">
        <v>6</v>
      </c>
      <c r="E21" s="5" t="str">
        <f t="shared" si="0"/>
        <v>Very Low</v>
      </c>
      <c r="F21" s="6">
        <f>VLOOKUP(C21, ProbTable[], 2,FALSE) * VLOOKUP(D21, ImpactTable[], 2,FALSE)</f>
        <v>1</v>
      </c>
      <c r="M21" s="24" t="s">
        <v>2</v>
      </c>
      <c r="N21" s="24"/>
      <c r="O21" s="24"/>
      <c r="P21" s="17"/>
    </row>
    <row r="22" spans="2:17" x14ac:dyDescent="0.25">
      <c r="M22" s="25"/>
      <c r="N22" s="25"/>
      <c r="O22" s="25"/>
      <c r="P22" s="17"/>
    </row>
    <row r="23" spans="2:17" x14ac:dyDescent="0.25">
      <c r="O23" s="17"/>
      <c r="P23" s="17"/>
    </row>
  </sheetData>
  <mergeCells count="17">
    <mergeCell ref="M21:O22"/>
    <mergeCell ref="K10:K18"/>
    <mergeCell ref="O10:O12"/>
    <mergeCell ref="O13:O15"/>
    <mergeCell ref="O16:O18"/>
    <mergeCell ref="M19:M20"/>
    <mergeCell ref="N19:N20"/>
    <mergeCell ref="O19:O20"/>
    <mergeCell ref="N10:N12"/>
    <mergeCell ref="N13:N15"/>
    <mergeCell ref="N16:N18"/>
    <mergeCell ref="M16:M18"/>
    <mergeCell ref="M13:M15"/>
    <mergeCell ref="M10:M12"/>
    <mergeCell ref="L10:L12"/>
    <mergeCell ref="L13:L15"/>
    <mergeCell ref="L16:L18"/>
  </mergeCells>
  <phoneticPr fontId="2" type="noConversion"/>
  <conditionalFormatting sqref="E11:E21">
    <cfRule type="containsText" dxfId="11" priority="1" operator="containsText" text="Very High">
      <formula>NOT(ISERROR(SEARCH("Very High",E11)))</formula>
    </cfRule>
    <cfRule type="containsText" dxfId="10" priority="8" operator="containsText" text="Very High">
      <formula>NOT(ISERROR(SEARCH("Very High",E11)))</formula>
    </cfRule>
    <cfRule type="containsText" dxfId="9" priority="9" operator="containsText" text="Medium">
      <formula>NOT(ISERROR(SEARCH("Medium",E11)))</formula>
    </cfRule>
    <cfRule type="containsText" dxfId="8" priority="10" operator="containsText" text="Very Low">
      <formula>NOT(ISERROR(SEARCH("Very Low",E11)))</formula>
    </cfRule>
    <cfRule type="containsText" dxfId="7" priority="11" operator="containsText" text="Quite High">
      <formula>NOT(ISERROR(SEARCH("Quite High",E11)))</formula>
    </cfRule>
    <cfRule type="containsText" dxfId="6" priority="12" operator="containsText" text="Quite Low">
      <formula>NOT(ISERROR(SEARCH("Quite Low",E11)))</formula>
    </cfRule>
  </conditionalFormatting>
  <conditionalFormatting sqref="M9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1:C21">
    <cfRule type="containsText" dxfId="5" priority="5" operator="containsText" text="High">
      <formula>NOT(ISERROR(SEARCH("High",C11)))</formula>
    </cfRule>
    <cfRule type="containsText" dxfId="4" priority="6" operator="containsText" text="Medium">
      <formula>NOT(ISERROR(SEARCH("Medium",C11)))</formula>
    </cfRule>
    <cfRule type="containsText" dxfId="3" priority="7" operator="containsText" text="1 - Low">
      <formula>NOT(ISERROR(SEARCH("1 - Low",C11)))</formula>
    </cfRule>
  </conditionalFormatting>
  <conditionalFormatting sqref="D11:D21">
    <cfRule type="containsText" dxfId="2" priority="2" operator="containsText" text="High">
      <formula>NOT(ISERROR(SEARCH("High",D11)))</formula>
    </cfRule>
    <cfRule type="containsText" dxfId="1" priority="3" operator="containsText" text="Medium">
      <formula>NOT(ISERROR(SEARCH("Medium",D11)))</formula>
    </cfRule>
    <cfRule type="containsText" dxfId="0" priority="4" operator="containsText" text="Low">
      <formula>NOT(ISERROR(SEARCH("Low",D11)))</formula>
    </cfRule>
  </conditionalFormatting>
  <pageMargins left="0.7" right="0.7" top="0.75" bottom="0.75" header="0.3" footer="0.3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Risk Map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Morris, Javani (Student)</dc:creator>
  <cp:keywords/>
  <dc:description/>
  <cp:lastModifiedBy>Watson, Jack (Student)</cp:lastModifiedBy>
  <cp:revision/>
  <dcterms:created xsi:type="dcterms:W3CDTF">2025-10-15T08:35:54Z</dcterms:created>
  <dcterms:modified xsi:type="dcterms:W3CDTF">2025-12-10T15:58:27Z</dcterms:modified>
  <cp:category/>
  <cp:contentStatus/>
</cp:coreProperties>
</file>
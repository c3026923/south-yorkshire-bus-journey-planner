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an\Downloads\"/>
    </mc:Choice>
  </mc:AlternateContent>
  <xr:revisionPtr revIDLastSave="0" documentId="13_ncr:1_{F4F28BCC-0AAF-40F7-994B-A941AE17E10D}" xr6:coauthVersionLast="47" xr6:coauthVersionMax="47" xr10:uidLastSave="{00000000-0000-0000-0000-000000000000}"/>
  <bookViews>
    <workbookView xWindow="7695" yWindow="2415" windowWidth="16770" windowHeight="156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F6" i="1"/>
  <c r="F5" i="1"/>
  <c r="E5" i="1"/>
  <c r="E6" i="1"/>
  <c r="E7" i="1"/>
  <c r="D7" i="1"/>
  <c r="D6" i="1"/>
  <c r="C8" i="1"/>
  <c r="B8" i="1"/>
  <c r="H3" i="1"/>
  <c r="H12" i="1"/>
  <c r="F7" i="1" l="1"/>
  <c r="E8" i="1"/>
  <c r="D8" i="1"/>
  <c r="H6" i="1"/>
  <c r="H4" i="1"/>
  <c r="C14" i="1"/>
  <c r="D14" i="1"/>
  <c r="E14" i="1"/>
  <c r="F14" i="1"/>
  <c r="G14" i="1"/>
  <c r="H7" i="1" l="1"/>
  <c r="G8" i="1"/>
  <c r="G18" i="1" s="1"/>
  <c r="F8" i="1"/>
  <c r="F18" i="1" s="1"/>
  <c r="C18" i="1"/>
  <c r="H5" i="1"/>
  <c r="E18" i="1"/>
  <c r="D18" i="1"/>
  <c r="B9" i="1"/>
  <c r="H8" i="1" l="1"/>
  <c r="C9" i="1"/>
  <c r="D9" i="1" s="1"/>
  <c r="E9" i="1" s="1"/>
  <c r="F9" i="1" s="1"/>
  <c r="G9" i="1" s="1"/>
  <c r="H13" i="1" l="1"/>
  <c r="H14" i="1" s="1"/>
  <c r="B14" i="1"/>
  <c r="B15" i="1" l="1"/>
  <c r="C15" i="1" s="1"/>
  <c r="D15" i="1" s="1"/>
  <c r="E15" i="1" s="1"/>
  <c r="F15" i="1" s="1"/>
  <c r="G15" i="1" s="1"/>
  <c r="B18" i="1"/>
  <c r="H18" i="1" s="1"/>
  <c r="B19" i="1" l="1"/>
  <c r="C19" i="1" s="1"/>
  <c r="D19" i="1" l="1"/>
  <c r="E19" i="1" s="1"/>
  <c r="F19" i="1" s="1"/>
  <c r="G19" i="1" s="1"/>
</calcChain>
</file>

<file path=xl/sharedStrings.xml><?xml version="1.0" encoding="utf-8"?>
<sst xmlns="http://schemas.openxmlformats.org/spreadsheetml/2006/main" count="49" uniqueCount="32">
  <si>
    <t>Start-up</t>
  </si>
  <si>
    <t>Year 1</t>
  </si>
  <si>
    <t>Year 2</t>
  </si>
  <si>
    <t>Year 3</t>
  </si>
  <si>
    <t>Year 4</t>
  </si>
  <si>
    <t>Year 5</t>
  </si>
  <si>
    <t>Totals</t>
  </si>
  <si>
    <t>Notes</t>
  </si>
  <si>
    <t>Costs</t>
  </si>
  <si>
    <t>Capital (Development)</t>
  </si>
  <si>
    <t>The budget for the entire development of the application.</t>
  </si>
  <si>
    <t>Total</t>
  </si>
  <si>
    <t>Cummulative Total</t>
  </si>
  <si>
    <t>Benefits</t>
  </si>
  <si>
    <t xml:space="preserve">      </t>
  </si>
  <si>
    <t>Cumulative Total</t>
  </si>
  <si>
    <t>Return on Investment</t>
  </si>
  <si>
    <t>Yearly</t>
  </si>
  <si>
    <t>Cumulative</t>
  </si>
  <si>
    <t>Capital (Cloud Hosting)</t>
  </si>
  <si>
    <t>Current (Transport API)</t>
  </si>
  <si>
    <t>Current (Built-in Support/Helpdesk)</t>
  </si>
  <si>
    <t>Built-in Support for Users</t>
  </si>
  <si>
    <t>Yearly cloud hosting</t>
  </si>
  <si>
    <t>Current (Cloud Hosting Renewal)</t>
  </si>
  <si>
    <t>Based on 10,000 users
•£36,000 yearly from 10% comission on ticket sales (30p per £3 ticket)</t>
  </si>
  <si>
    <t>Revenue (Ticket Commission)</t>
  </si>
  <si>
    <t>Savings (Reduced Boarding time)</t>
  </si>
  <si>
    <t>Reduced boarding times could allow SYB to save annualy due to less overtime/fuel spent</t>
  </si>
  <si>
    <t>£670/year (£0.002233 per request x estimated monthly requests) https://www.transportapi.com/pdf/TransportAPI-SASL-2022-customer-v4-selfserveplans.pdf</t>
  </si>
  <si>
    <t>One-Off Cloud Hosting payment of £1200 (estimate) based on  https://www.spendflo.com/blog/digitalocean-pricing-guide</t>
  </si>
  <si>
    <t>inflation based on https://www.in2013dollars.com/uk/inflation/2025?endYear=2030&amp;amount=100&amp;future_pct=0.03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</si>
</sst>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;[Red]\-0.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2" borderId="0" xfId="0" applyNumberFormat="1" applyFill="1"/>
    <xf numFmtId="164" fontId="0" fillId="0" borderId="0" xfId="0" applyNumberFormat="1"/>
    <xf numFmtId="164" fontId="1" fillId="2" borderId="0" xfId="0" applyNumberFormat="1" applyFont="1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2" zoomScaleNormal="100" workbookViewId="0">
      <selection activeCell="I20" sqref="I20"/>
    </sheetView>
  </sheetViews>
  <sheetFormatPr defaultRowHeight="15" x14ac:dyDescent="0.25"/>
  <cols>
    <col min="1" max="1" width="32.7109375" customWidth="1"/>
    <col min="2" max="2" width="10" bestFit="1" customWidth="1"/>
    <col min="8" max="8" width="9.140625" bestFit="1" customWidth="1"/>
    <col min="9" max="9" width="95.7109375" customWidth="1"/>
  </cols>
  <sheetData>
    <row r="1" spans="1:10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10" x14ac:dyDescent="0.25">
      <c r="A2" s="2" t="s">
        <v>8</v>
      </c>
      <c r="B2" s="1"/>
      <c r="C2" s="1"/>
      <c r="D2" s="1"/>
      <c r="E2" s="1"/>
      <c r="F2" s="1"/>
      <c r="G2" s="3"/>
      <c r="H2" s="1"/>
      <c r="I2" t="s">
        <v>31</v>
      </c>
    </row>
    <row r="3" spans="1:10" x14ac:dyDescent="0.25">
      <c r="A3" t="s">
        <v>9</v>
      </c>
      <c r="B3" s="4">
        <v>65000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f>SUM(B3:G3)</f>
        <v>65000</v>
      </c>
      <c r="I3" t="s">
        <v>10</v>
      </c>
    </row>
    <row r="4" spans="1:10" x14ac:dyDescent="0.25">
      <c r="A4" s="7" t="s">
        <v>19</v>
      </c>
      <c r="B4" s="4">
        <v>0</v>
      </c>
      <c r="C4" s="4">
        <v>1200</v>
      </c>
      <c r="D4" s="4">
        <v>0</v>
      </c>
      <c r="E4" s="4">
        <v>0</v>
      </c>
      <c r="F4" s="4">
        <v>0</v>
      </c>
      <c r="G4" s="4">
        <v>0</v>
      </c>
      <c r="H4" s="3">
        <f>SUM(B4:G4)</f>
        <v>1200</v>
      </c>
      <c r="I4" t="s">
        <v>30</v>
      </c>
    </row>
    <row r="5" spans="1:10" x14ac:dyDescent="0.25">
      <c r="A5" t="s">
        <v>24</v>
      </c>
      <c r="B5" s="4">
        <v>0</v>
      </c>
      <c r="C5" s="4">
        <v>0</v>
      </c>
      <c r="D5" s="4">
        <v>1200</v>
      </c>
      <c r="E5" s="4">
        <f>D5+(D5*0.03)</f>
        <v>1236</v>
      </c>
      <c r="F5" s="4">
        <f>E5+(E5*0.03)</f>
        <v>1273.08</v>
      </c>
      <c r="G5" s="4">
        <f>F5+(F5*0.03)</f>
        <v>1311.2723999999998</v>
      </c>
      <c r="H5" s="3">
        <f t="shared" ref="H5:H6" si="0">SUM(B5:G5)</f>
        <v>5020.3523999999998</v>
      </c>
      <c r="I5" t="s">
        <v>23</v>
      </c>
    </row>
    <row r="6" spans="1:10" x14ac:dyDescent="0.25">
      <c r="A6" t="s">
        <v>20</v>
      </c>
      <c r="B6" s="4">
        <v>0</v>
      </c>
      <c r="C6" s="4">
        <v>670</v>
      </c>
      <c r="D6" s="4">
        <f>C6+(C6*0.03)</f>
        <v>690.1</v>
      </c>
      <c r="E6" s="4">
        <f>D6+(D6*0.03)</f>
        <v>710.803</v>
      </c>
      <c r="F6" s="4">
        <f>E6+(E6*0.03)</f>
        <v>732.12708999999995</v>
      </c>
      <c r="G6" s="4">
        <f>F6+(F6*0.03)</f>
        <v>754.0909026999999</v>
      </c>
      <c r="H6" s="3">
        <f t="shared" si="0"/>
        <v>3557.1209926999995</v>
      </c>
      <c r="I6" t="s">
        <v>29</v>
      </c>
    </row>
    <row r="7" spans="1:10" x14ac:dyDescent="0.25">
      <c r="A7" t="s">
        <v>21</v>
      </c>
      <c r="B7" s="4">
        <v>0</v>
      </c>
      <c r="C7" s="4">
        <v>2000</v>
      </c>
      <c r="D7" s="4">
        <f>C7+(C7*0.03)</f>
        <v>2060</v>
      </c>
      <c r="E7" s="4">
        <f>D7+(D7*0.03)</f>
        <v>2121.8000000000002</v>
      </c>
      <c r="F7" s="4">
        <f>E7+(E7*0.03)</f>
        <v>2185.4540000000002</v>
      </c>
      <c r="G7" s="4">
        <f>F7+(F7*0.03)</f>
        <v>2251.0176200000001</v>
      </c>
      <c r="H7" s="3">
        <f>SUM(B7:G7)</f>
        <v>10618.271620000001</v>
      </c>
      <c r="I7" t="s">
        <v>22</v>
      </c>
    </row>
    <row r="8" spans="1:10" x14ac:dyDescent="0.25">
      <c r="A8" s="1" t="s">
        <v>11</v>
      </c>
      <c r="B8" s="3">
        <f t="shared" ref="B8:G8" si="1">SUM(B3:B7)</f>
        <v>65000</v>
      </c>
      <c r="C8" s="3">
        <f t="shared" si="1"/>
        <v>3870</v>
      </c>
      <c r="D8" s="3">
        <f t="shared" si="1"/>
        <v>3950.1</v>
      </c>
      <c r="E8" s="3">
        <f t="shared" si="1"/>
        <v>4068.6030000000001</v>
      </c>
      <c r="F8" s="3">
        <f t="shared" si="1"/>
        <v>4190.6610899999996</v>
      </c>
      <c r="G8" s="3">
        <f t="shared" si="1"/>
        <v>4316.3809227000002</v>
      </c>
      <c r="H8" s="3">
        <f>SUM(H4:H7)</f>
        <v>20395.745012700001</v>
      </c>
    </row>
    <row r="9" spans="1:10" x14ac:dyDescent="0.25">
      <c r="A9" s="1" t="s">
        <v>12</v>
      </c>
      <c r="B9" s="3">
        <f>B8</f>
        <v>65000</v>
      </c>
      <c r="C9" s="3">
        <f>C8+B9</f>
        <v>68870</v>
      </c>
      <c r="D9" s="3">
        <f t="shared" ref="D9:G9" si="2">D8+C9</f>
        <v>72820.100000000006</v>
      </c>
      <c r="E9" s="3">
        <f t="shared" si="2"/>
        <v>76888.703000000009</v>
      </c>
      <c r="F9" s="3">
        <f t="shared" si="2"/>
        <v>81079.364090000003</v>
      </c>
      <c r="G9" s="3">
        <f t="shared" si="2"/>
        <v>85395.745012700005</v>
      </c>
      <c r="H9" s="3"/>
    </row>
    <row r="10" spans="1:10" x14ac:dyDescent="0.25">
      <c r="A10" s="1"/>
      <c r="B10" s="4"/>
      <c r="C10" s="4"/>
      <c r="D10" s="4"/>
      <c r="E10" s="4"/>
      <c r="F10" s="4"/>
      <c r="G10" s="4"/>
      <c r="H10" s="4"/>
    </row>
    <row r="11" spans="1:10" x14ac:dyDescent="0.25">
      <c r="A11" s="2" t="s">
        <v>13</v>
      </c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  <c r="I11" s="2" t="s">
        <v>7</v>
      </c>
      <c r="J11" t="s">
        <v>14</v>
      </c>
    </row>
    <row r="12" spans="1:10" ht="30" x14ac:dyDescent="0.25">
      <c r="A12" s="1" t="s">
        <v>26</v>
      </c>
      <c r="B12" s="4">
        <v>0</v>
      </c>
      <c r="C12" s="4">
        <v>36000</v>
      </c>
      <c r="D12" s="4">
        <v>37620</v>
      </c>
      <c r="E12" s="4">
        <v>37620</v>
      </c>
      <c r="F12" s="4">
        <v>37620</v>
      </c>
      <c r="G12" s="4">
        <v>37620</v>
      </c>
      <c r="H12" s="3">
        <f>SUM(B12:G12)</f>
        <v>186480</v>
      </c>
      <c r="I12" s="6" t="s">
        <v>25</v>
      </c>
    </row>
    <row r="13" spans="1:10" x14ac:dyDescent="0.25">
      <c r="A13" s="1" t="s">
        <v>27</v>
      </c>
      <c r="B13" s="4">
        <v>0</v>
      </c>
      <c r="C13" s="4">
        <v>2000</v>
      </c>
      <c r="D13" s="4">
        <v>2000</v>
      </c>
      <c r="E13" s="4">
        <v>2000</v>
      </c>
      <c r="F13" s="4">
        <v>2000</v>
      </c>
      <c r="G13" s="4">
        <v>2000</v>
      </c>
      <c r="H13" s="3">
        <f t="shared" ref="H13" si="3">SUM(B13:G13)</f>
        <v>10000</v>
      </c>
      <c r="I13" t="s">
        <v>28</v>
      </c>
    </row>
    <row r="14" spans="1:10" x14ac:dyDescent="0.25">
      <c r="A14" s="1" t="s">
        <v>11</v>
      </c>
      <c r="B14" s="3">
        <f t="shared" ref="B14:H14" si="4">SUM(B12:B13)</f>
        <v>0</v>
      </c>
      <c r="C14" s="3">
        <f t="shared" si="4"/>
        <v>38000</v>
      </c>
      <c r="D14" s="3">
        <f t="shared" si="4"/>
        <v>39620</v>
      </c>
      <c r="E14" s="3">
        <f t="shared" si="4"/>
        <v>39620</v>
      </c>
      <c r="F14" s="3">
        <f t="shared" si="4"/>
        <v>39620</v>
      </c>
      <c r="G14" s="3">
        <f t="shared" si="4"/>
        <v>39620</v>
      </c>
      <c r="H14" s="3">
        <f t="shared" si="4"/>
        <v>196480</v>
      </c>
    </row>
    <row r="15" spans="1:10" x14ac:dyDescent="0.25">
      <c r="A15" s="1" t="s">
        <v>15</v>
      </c>
      <c r="B15" s="3">
        <f>B14</f>
        <v>0</v>
      </c>
      <c r="C15" s="3">
        <f>C14+B15</f>
        <v>38000</v>
      </c>
      <c r="D15" s="3">
        <f t="shared" ref="D15" si="5">D14+C15</f>
        <v>77620</v>
      </c>
      <c r="E15" s="3">
        <f t="shared" ref="E15" si="6">E14+D15</f>
        <v>117240</v>
      </c>
      <c r="F15" s="3">
        <f t="shared" ref="F15" si="7">F14+E15</f>
        <v>156860</v>
      </c>
      <c r="G15" s="3">
        <f t="shared" ref="G15" si="8">G14+F15</f>
        <v>196480</v>
      </c>
      <c r="H15" s="3"/>
    </row>
    <row r="16" spans="1:10" x14ac:dyDescent="0.25">
      <c r="A16" s="1"/>
      <c r="B16" s="4"/>
      <c r="C16" s="4"/>
      <c r="D16" s="4"/>
      <c r="E16" s="4"/>
      <c r="F16" s="4"/>
      <c r="G16" s="4"/>
      <c r="H16" s="4"/>
    </row>
    <row r="17" spans="1:9" x14ac:dyDescent="0.25">
      <c r="A17" s="2" t="s">
        <v>16</v>
      </c>
      <c r="B17" s="5" t="s">
        <v>0</v>
      </c>
      <c r="C17" s="5" t="s">
        <v>1</v>
      </c>
      <c r="D17" s="5" t="s">
        <v>2</v>
      </c>
      <c r="E17" s="5" t="s">
        <v>3</v>
      </c>
      <c r="F17" s="5" t="s">
        <v>4</v>
      </c>
      <c r="G17" s="5" t="s">
        <v>5</v>
      </c>
      <c r="H17" s="5" t="s">
        <v>6</v>
      </c>
      <c r="I17" s="2" t="s">
        <v>7</v>
      </c>
    </row>
    <row r="18" spans="1:9" x14ac:dyDescent="0.25">
      <c r="A18" s="1" t="s">
        <v>17</v>
      </c>
      <c r="B18" s="3">
        <f t="shared" ref="B18:G18" si="9">B14-B8</f>
        <v>-65000</v>
      </c>
      <c r="C18" s="3">
        <f t="shared" si="9"/>
        <v>34130</v>
      </c>
      <c r="D18" s="3">
        <f t="shared" si="9"/>
        <v>35669.9</v>
      </c>
      <c r="E18" s="3">
        <f t="shared" si="9"/>
        <v>35551.396999999997</v>
      </c>
      <c r="F18" s="3">
        <f t="shared" si="9"/>
        <v>35429.338909999999</v>
      </c>
      <c r="G18" s="3">
        <f t="shared" si="9"/>
        <v>35303.619077299998</v>
      </c>
      <c r="H18" s="3">
        <f>SUM(B18:G18)</f>
        <v>111084.2549873</v>
      </c>
    </row>
    <row r="19" spans="1:9" x14ac:dyDescent="0.25">
      <c r="A19" s="1" t="s">
        <v>18</v>
      </c>
      <c r="B19" s="3">
        <f>B18</f>
        <v>-65000</v>
      </c>
      <c r="C19" s="3">
        <f>C18+B19</f>
        <v>-30870</v>
      </c>
      <c r="D19" s="3">
        <f>D18+C19</f>
        <v>4799.9000000000015</v>
      </c>
      <c r="E19" s="3">
        <f>E18+D19</f>
        <v>40351.296999999999</v>
      </c>
      <c r="F19" s="3">
        <f>F18+E19</f>
        <v>75780.635909999997</v>
      </c>
      <c r="G19" s="3">
        <f t="shared" ref="G19" si="10">G18+F19</f>
        <v>111084.2549873</v>
      </c>
      <c r="H19" s="3"/>
    </row>
    <row r="20" spans="1:9" x14ac:dyDescent="0.25">
      <c r="B20" s="4"/>
      <c r="C20" s="4"/>
      <c r="D20" s="4"/>
      <c r="E20" s="4"/>
      <c r="F20" s="4"/>
      <c r="G20" s="4"/>
      <c r="H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Sheffield Hallam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Terry Keefe</dc:creator>
  <cp:keywords/>
  <dc:description/>
  <cp:lastModifiedBy>Morris, Javani (Student)</cp:lastModifiedBy>
  <cp:revision/>
  <dcterms:created xsi:type="dcterms:W3CDTF">2012-10-31T14:48:39Z</dcterms:created>
  <dcterms:modified xsi:type="dcterms:W3CDTF">2025-12-10T15:18:38Z</dcterms:modified>
  <cp:category/>
  <cp:contentStatus/>
</cp:coreProperties>
</file>
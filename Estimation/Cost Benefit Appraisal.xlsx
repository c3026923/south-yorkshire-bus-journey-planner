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avan\Downloads\"/>
    </mc:Choice>
  </mc:AlternateContent>
  <xr:revisionPtr revIDLastSave="0" documentId="13_ncr:1_{BEC26BC5-1C0B-4C87-B1F8-C5BCF6D15CAF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B8" i="1"/>
  <c r="E5" i="1"/>
  <c r="E8" i="1" s="1"/>
  <c r="H3" i="1"/>
  <c r="D6" i="1"/>
  <c r="E6" i="1" s="1"/>
  <c r="F6" i="1" s="1"/>
  <c r="G6" i="1" s="1"/>
  <c r="D7" i="1"/>
  <c r="E7" i="1" s="1"/>
  <c r="F7" i="1" s="1"/>
  <c r="G7" i="1" s="1"/>
  <c r="H12" i="1"/>
  <c r="H7" i="1" l="1"/>
  <c r="D8" i="1"/>
  <c r="H6" i="1"/>
  <c r="F5" i="1"/>
  <c r="H4" i="1"/>
  <c r="C14" i="1"/>
  <c r="D14" i="1"/>
  <c r="E14" i="1"/>
  <c r="F14" i="1"/>
  <c r="G14" i="1"/>
  <c r="G5" i="1" l="1"/>
  <c r="G8" i="1" s="1"/>
  <c r="F8" i="1"/>
  <c r="G18" i="1"/>
  <c r="C18" i="1"/>
  <c r="F18" i="1"/>
  <c r="H5" i="1"/>
  <c r="H8" i="1" s="1"/>
  <c r="E18" i="1"/>
  <c r="D18" i="1"/>
  <c r="B9" i="1"/>
  <c r="C9" i="1" l="1"/>
  <c r="D9" i="1" s="1"/>
  <c r="E9" i="1" s="1"/>
  <c r="F9" i="1" s="1"/>
  <c r="G9" i="1" s="1"/>
  <c r="H13" i="1" l="1"/>
  <c r="H14" i="1" s="1"/>
  <c r="B14" i="1"/>
  <c r="B15" i="1" l="1"/>
  <c r="C15" i="1" s="1"/>
  <c r="D15" i="1" s="1"/>
  <c r="E15" i="1" s="1"/>
  <c r="F15" i="1" s="1"/>
  <c r="G15" i="1" s="1"/>
  <c r="B18" i="1"/>
  <c r="H18" i="1" s="1"/>
  <c r="B19" i="1" l="1"/>
  <c r="C19" i="1" s="1"/>
  <c r="D19" i="1" l="1"/>
  <c r="E19" i="1" s="1"/>
  <c r="F19" i="1" s="1"/>
  <c r="G19" i="1" s="1"/>
</calcChain>
</file>

<file path=xl/sharedStrings.xml><?xml version="1.0" encoding="utf-8"?>
<sst xmlns="http://schemas.openxmlformats.org/spreadsheetml/2006/main" count="49" uniqueCount="32">
  <si>
    <t>Start-up</t>
  </si>
  <si>
    <t>Year 1</t>
  </si>
  <si>
    <t>Year 2</t>
  </si>
  <si>
    <t>Year 3</t>
  </si>
  <si>
    <t>Year 4</t>
  </si>
  <si>
    <t>Year 5</t>
  </si>
  <si>
    <t>Totals</t>
  </si>
  <si>
    <t>Notes</t>
  </si>
  <si>
    <t>Costs</t>
  </si>
  <si>
    <t>Capital (Development)</t>
  </si>
  <si>
    <t>The budget for the entire development of the application.</t>
  </si>
  <si>
    <t>Total</t>
  </si>
  <si>
    <t>Cummulative Total</t>
  </si>
  <si>
    <t>Benefits</t>
  </si>
  <si>
    <t xml:space="preserve">      </t>
  </si>
  <si>
    <t>Cumulative Total</t>
  </si>
  <si>
    <t>Return on Investment</t>
  </si>
  <si>
    <t>Yearly</t>
  </si>
  <si>
    <t>Cumulative</t>
  </si>
  <si>
    <t>2026 (Year 2) estimate inflation is 2.6%. 2027 (Year 3) estimate inflation is 2.1%. 2028 (Year 4) estimate inflation is 2.0%. 2029 (Year 5) estimate inflation is 2.9%</t>
  </si>
  <si>
    <t>Capital (Cloud Hosting)</t>
  </si>
  <si>
    <t>£670/year (£0.002233 per request x estimated monthly requests)</t>
  </si>
  <si>
    <t>One-Off Cloud Hosting payment of £1200</t>
  </si>
  <si>
    <t>Current (Transport API)</t>
  </si>
  <si>
    <t>Current (Built-in Support/Helpdesk)</t>
  </si>
  <si>
    <t>Built-in Support for Users</t>
  </si>
  <si>
    <t>Yearly cloud hosting</t>
  </si>
  <si>
    <t>Current (Cloud Hosting Renewal)</t>
  </si>
  <si>
    <t>Based on 10,000 users
•£36,000 yearly from 10% comission on ticket sales (30p per £3 ticket)</t>
  </si>
  <si>
    <t>Revenue (Ticket Commission)</t>
  </si>
  <si>
    <t>Savings (Reduced Boarding time)</t>
  </si>
  <si>
    <t>Reduced boarding times could allow SYB to save annualy due to less overtime/fuel spent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</si>
</sst>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_ ;[Red]\-0.0\ 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1" fillId="2" borderId="0" xfId="0" applyFont="1" applyFill="1"/>
    <xf numFmtId="164" fontId="0" fillId="2" borderId="0" xfId="0" applyNumberFormat="1" applyFill="1"/>
    <xf numFmtId="164" fontId="0" fillId="0" borderId="0" xfId="0" applyNumberFormat="1"/>
    <xf numFmtId="164" fontId="1" fillId="2" borderId="0" xfId="0" applyNumberFormat="1" applyFont="1" applyFill="1"/>
    <xf numFmtId="0" fontId="0" fillId="0" borderId="0" xfId="0" applyAlignment="1">
      <alignment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zoomScaleNormal="100" workbookViewId="0">
      <selection activeCell="K8" sqref="K8"/>
    </sheetView>
  </sheetViews>
  <sheetFormatPr defaultRowHeight="15" x14ac:dyDescent="0.25"/>
  <cols>
    <col min="1" max="1" width="32.7109375" customWidth="1"/>
    <col min="2" max="2" width="10" bestFit="1" customWidth="1"/>
    <col min="8" max="8" width="9.140625" bestFit="1" customWidth="1"/>
    <col min="9" max="9" width="95.7109375" customWidth="1"/>
  </cols>
  <sheetData>
    <row r="1" spans="1:10" x14ac:dyDescent="0.25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10" x14ac:dyDescent="0.25">
      <c r="A2" s="2" t="s">
        <v>8</v>
      </c>
      <c r="B2" s="1"/>
      <c r="C2" s="1"/>
      <c r="D2" s="1"/>
      <c r="E2" s="1"/>
      <c r="F2" s="1"/>
      <c r="G2" s="3"/>
      <c r="H2" s="1"/>
    </row>
    <row r="3" spans="1:10" x14ac:dyDescent="0.25">
      <c r="A3" t="s">
        <v>9</v>
      </c>
      <c r="B3" s="4">
        <v>65000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3">
        <f>SUM(B3:G3)</f>
        <v>65000</v>
      </c>
      <c r="I3" t="s">
        <v>10</v>
      </c>
    </row>
    <row r="4" spans="1:10" x14ac:dyDescent="0.25">
      <c r="A4" s="7" t="s">
        <v>20</v>
      </c>
      <c r="B4" s="4">
        <v>0</v>
      </c>
      <c r="C4" s="4">
        <v>1200</v>
      </c>
      <c r="D4" s="4">
        <v>0</v>
      </c>
      <c r="E4" s="4">
        <v>0</v>
      </c>
      <c r="F4" s="4">
        <v>0</v>
      </c>
      <c r="G4" s="4">
        <v>0</v>
      </c>
      <c r="H4" s="3">
        <f>SUM(B4:G4)</f>
        <v>1200</v>
      </c>
      <c r="I4" t="s">
        <v>22</v>
      </c>
    </row>
    <row r="5" spans="1:10" x14ac:dyDescent="0.25">
      <c r="A5" t="s">
        <v>27</v>
      </c>
      <c r="B5" s="4">
        <v>0</v>
      </c>
      <c r="C5" s="4">
        <v>0</v>
      </c>
      <c r="D5" s="4">
        <v>1200</v>
      </c>
      <c r="E5" s="4">
        <f>D5+(D5*0.21)</f>
        <v>1452</v>
      </c>
      <c r="F5" s="4">
        <f t="shared" ref="F5:F7" si="0">E5+(E5*0.02)</f>
        <v>1481.04</v>
      </c>
      <c r="G5" s="4">
        <f t="shared" ref="G5:G7" si="1">F5+(F5*0.029)</f>
        <v>1523.9901600000001</v>
      </c>
      <c r="H5" s="3">
        <f t="shared" ref="H5:H6" si="2">SUM(B5:G5)</f>
        <v>5657.0301600000003</v>
      </c>
      <c r="I5" t="s">
        <v>26</v>
      </c>
    </row>
    <row r="6" spans="1:10" x14ac:dyDescent="0.25">
      <c r="A6" t="s">
        <v>23</v>
      </c>
      <c r="B6" s="4">
        <v>0</v>
      </c>
      <c r="C6" s="4">
        <v>670</v>
      </c>
      <c r="D6" s="4">
        <f t="shared" ref="D6:D7" si="3">C6+(C6*0.026)</f>
        <v>687.42</v>
      </c>
      <c r="E6" s="4">
        <f>D6+(D6*0.21)</f>
        <v>831.77819999999997</v>
      </c>
      <c r="F6" s="4">
        <f t="shared" si="0"/>
        <v>848.41376400000001</v>
      </c>
      <c r="G6" s="4">
        <f t="shared" si="1"/>
        <v>873.017763156</v>
      </c>
      <c r="H6" s="3">
        <f t="shared" si="2"/>
        <v>3910.6297271559997</v>
      </c>
      <c r="I6" t="s">
        <v>21</v>
      </c>
    </row>
    <row r="7" spans="1:10" x14ac:dyDescent="0.25">
      <c r="A7" t="s">
        <v>24</v>
      </c>
      <c r="B7" s="4">
        <v>0</v>
      </c>
      <c r="C7" s="4">
        <v>2000</v>
      </c>
      <c r="D7" s="4">
        <f t="shared" si="3"/>
        <v>2052</v>
      </c>
      <c r="E7" s="4">
        <f>D7+(D7*0.21)</f>
        <v>2482.92</v>
      </c>
      <c r="F7" s="4">
        <f t="shared" si="0"/>
        <v>2532.5783999999999</v>
      </c>
      <c r="G7" s="4">
        <f t="shared" si="1"/>
        <v>2606.0231736000001</v>
      </c>
      <c r="H7" s="3">
        <f>SUM(B7:G7)</f>
        <v>11673.521573600001</v>
      </c>
      <c r="I7" t="s">
        <v>25</v>
      </c>
    </row>
    <row r="8" spans="1:10" x14ac:dyDescent="0.25">
      <c r="A8" s="1" t="s">
        <v>11</v>
      </c>
      <c r="B8" s="3">
        <f>SUM(B3:B7)</f>
        <v>65000</v>
      </c>
      <c r="C8" s="3">
        <f>SUM(C3:C7)</f>
        <v>3870</v>
      </c>
      <c r="D8" s="3">
        <f>SUM(D3:D7)</f>
        <v>3939.42</v>
      </c>
      <c r="E8" s="3">
        <f>SUM(E3:E7)</f>
        <v>4766.6981999999998</v>
      </c>
      <c r="F8" s="3">
        <f>SUM(F3:F7)</f>
        <v>4862.0321640000002</v>
      </c>
      <c r="G8" s="3">
        <f>SUM(G3:G7)</f>
        <v>5003.0310967559999</v>
      </c>
      <c r="H8" s="3">
        <f>SUM(H4:H7)</f>
        <v>22441.181460756001</v>
      </c>
    </row>
    <row r="9" spans="1:10" x14ac:dyDescent="0.25">
      <c r="A9" s="1" t="s">
        <v>12</v>
      </c>
      <c r="B9" s="3">
        <f>B8</f>
        <v>65000</v>
      </c>
      <c r="C9" s="3">
        <f>C8+B9</f>
        <v>68870</v>
      </c>
      <c r="D9" s="3">
        <f t="shared" ref="D9:G9" si="4">D8+C9</f>
        <v>72809.42</v>
      </c>
      <c r="E9" s="3">
        <f t="shared" si="4"/>
        <v>77576.118199999997</v>
      </c>
      <c r="F9" s="3">
        <f t="shared" si="4"/>
        <v>82438.150364000001</v>
      </c>
      <c r="G9" s="3">
        <f t="shared" si="4"/>
        <v>87441.181460755994</v>
      </c>
      <c r="H9" s="3"/>
    </row>
    <row r="10" spans="1:10" x14ac:dyDescent="0.25">
      <c r="A10" s="1"/>
      <c r="B10" s="4"/>
      <c r="C10" s="4"/>
      <c r="D10" s="4"/>
      <c r="E10" s="4"/>
      <c r="F10" s="4"/>
      <c r="G10" s="4"/>
      <c r="H10" s="4"/>
    </row>
    <row r="11" spans="1:10" x14ac:dyDescent="0.25">
      <c r="A11" s="2" t="s">
        <v>13</v>
      </c>
      <c r="B11" s="5" t="s">
        <v>0</v>
      </c>
      <c r="C11" s="5" t="s">
        <v>1</v>
      </c>
      <c r="D11" s="5" t="s">
        <v>2</v>
      </c>
      <c r="E11" s="5" t="s">
        <v>3</v>
      </c>
      <c r="F11" s="5" t="s">
        <v>4</v>
      </c>
      <c r="G11" s="5" t="s">
        <v>5</v>
      </c>
      <c r="H11" s="5" t="s">
        <v>6</v>
      </c>
      <c r="I11" s="2" t="s">
        <v>7</v>
      </c>
      <c r="J11" t="s">
        <v>14</v>
      </c>
    </row>
    <row r="12" spans="1:10" ht="30" x14ac:dyDescent="0.25">
      <c r="A12" s="1" t="s">
        <v>29</v>
      </c>
      <c r="B12" s="4">
        <v>0</v>
      </c>
      <c r="C12" s="4">
        <v>36000</v>
      </c>
      <c r="D12" s="4">
        <v>37620</v>
      </c>
      <c r="E12" s="4">
        <v>37620</v>
      </c>
      <c r="F12" s="4">
        <v>37620</v>
      </c>
      <c r="G12" s="4">
        <v>37620</v>
      </c>
      <c r="H12" s="3">
        <f>SUM(B12:G12)</f>
        <v>186480</v>
      </c>
      <c r="I12" s="6" t="s">
        <v>28</v>
      </c>
    </row>
    <row r="13" spans="1:10" x14ac:dyDescent="0.25">
      <c r="A13" s="1" t="s">
        <v>30</v>
      </c>
      <c r="B13" s="4">
        <v>0</v>
      </c>
      <c r="C13" s="4">
        <v>2000</v>
      </c>
      <c r="D13" s="4">
        <v>2000</v>
      </c>
      <c r="E13" s="4">
        <v>2000</v>
      </c>
      <c r="F13" s="4">
        <v>2000</v>
      </c>
      <c r="G13" s="4">
        <v>2000</v>
      </c>
      <c r="H13" s="3">
        <f t="shared" ref="H13" si="5">SUM(B13:G13)</f>
        <v>10000</v>
      </c>
      <c r="I13" t="s">
        <v>31</v>
      </c>
    </row>
    <row r="14" spans="1:10" x14ac:dyDescent="0.25">
      <c r="A14" s="1" t="s">
        <v>11</v>
      </c>
      <c r="B14" s="3">
        <f>SUM(B12:B13)</f>
        <v>0</v>
      </c>
      <c r="C14" s="3">
        <f>SUM(C12:C13)</f>
        <v>38000</v>
      </c>
      <c r="D14" s="3">
        <f>SUM(D12:D13)</f>
        <v>39620</v>
      </c>
      <c r="E14" s="3">
        <f>SUM(E12:E13)</f>
        <v>39620</v>
      </c>
      <c r="F14" s="3">
        <f>SUM(F12:F13)</f>
        <v>39620</v>
      </c>
      <c r="G14" s="3">
        <f>SUM(G12:G13)</f>
        <v>39620</v>
      </c>
      <c r="H14" s="3">
        <f>SUM(H12:H13)</f>
        <v>196480</v>
      </c>
    </row>
    <row r="15" spans="1:10" x14ac:dyDescent="0.25">
      <c r="A15" s="1" t="s">
        <v>15</v>
      </c>
      <c r="B15" s="3">
        <f>B14</f>
        <v>0</v>
      </c>
      <c r="C15" s="3">
        <f>C14+B15</f>
        <v>38000</v>
      </c>
      <c r="D15" s="3">
        <f t="shared" ref="D15" si="6">D14+C15</f>
        <v>77620</v>
      </c>
      <c r="E15" s="3">
        <f t="shared" ref="E15" si="7">E14+D15</f>
        <v>117240</v>
      </c>
      <c r="F15" s="3">
        <f t="shared" ref="F15" si="8">F14+E15</f>
        <v>156860</v>
      </c>
      <c r="G15" s="3">
        <f t="shared" ref="G15" si="9">G14+F15</f>
        <v>196480</v>
      </c>
      <c r="H15" s="3"/>
    </row>
    <row r="16" spans="1:10" x14ac:dyDescent="0.25">
      <c r="A16" s="1"/>
      <c r="B16" s="4"/>
      <c r="C16" s="4"/>
      <c r="D16" s="4"/>
      <c r="E16" s="4"/>
      <c r="F16" s="4"/>
      <c r="G16" s="4"/>
      <c r="H16" s="4"/>
    </row>
    <row r="17" spans="1:9" x14ac:dyDescent="0.25">
      <c r="A17" s="2" t="s">
        <v>16</v>
      </c>
      <c r="B17" s="5" t="s">
        <v>0</v>
      </c>
      <c r="C17" s="5" t="s">
        <v>1</v>
      </c>
      <c r="D17" s="5" t="s">
        <v>2</v>
      </c>
      <c r="E17" s="5" t="s">
        <v>3</v>
      </c>
      <c r="F17" s="5" t="s">
        <v>4</v>
      </c>
      <c r="G17" s="5" t="s">
        <v>5</v>
      </c>
      <c r="H17" s="5" t="s">
        <v>6</v>
      </c>
      <c r="I17" s="2" t="s">
        <v>7</v>
      </c>
    </row>
    <row r="18" spans="1:9" x14ac:dyDescent="0.25">
      <c r="A18" s="1" t="s">
        <v>17</v>
      </c>
      <c r="B18" s="3">
        <f>B14-B8</f>
        <v>-65000</v>
      </c>
      <c r="C18" s="3">
        <f>C14-C8</f>
        <v>34130</v>
      </c>
      <c r="D18" s="3">
        <f>D14-D8</f>
        <v>35680.58</v>
      </c>
      <c r="E18" s="3">
        <f>E14-E8</f>
        <v>34853.301800000001</v>
      </c>
      <c r="F18" s="3">
        <f>F14-F8</f>
        <v>34757.967835999996</v>
      </c>
      <c r="G18" s="3">
        <f>G14-G8</f>
        <v>34616.968903244</v>
      </c>
      <c r="H18" s="3">
        <f>SUM(B18:G18)</f>
        <v>109038.81853924401</v>
      </c>
    </row>
    <row r="19" spans="1:9" x14ac:dyDescent="0.25">
      <c r="A19" s="1" t="s">
        <v>18</v>
      </c>
      <c r="B19" s="3">
        <f>B18</f>
        <v>-65000</v>
      </c>
      <c r="C19" s="3">
        <f>C18+B19</f>
        <v>-30870</v>
      </c>
      <c r="D19" s="3">
        <f>D18+C19</f>
        <v>4810.5800000000017</v>
      </c>
      <c r="E19" s="3">
        <f>E18+D19</f>
        <v>39663.881800000003</v>
      </c>
      <c r="F19" s="3">
        <f>F18+E19</f>
        <v>74421.849635999999</v>
      </c>
      <c r="G19" s="3">
        <f t="shared" ref="G19" si="10">G18+F19</f>
        <v>109038.81853924401</v>
      </c>
      <c r="H19" s="3"/>
    </row>
    <row r="20" spans="1:9" x14ac:dyDescent="0.25">
      <c r="B20" s="4"/>
      <c r="C20" s="4"/>
      <c r="D20" s="4"/>
      <c r="E20" s="4"/>
      <c r="F20" s="4"/>
      <c r="G20" s="4"/>
      <c r="H20" s="4"/>
    </row>
    <row r="22" spans="1:9" x14ac:dyDescent="0.25">
      <c r="A22" t="s">
        <v>19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Sheffield Hallam University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Terry Keefe</dc:creator>
  <cp:keywords/>
  <dc:description/>
  <cp:lastModifiedBy>Morris, Javani (Student)</cp:lastModifiedBy>
  <cp:revision/>
  <dcterms:created xsi:type="dcterms:W3CDTF">2012-10-31T14:48:39Z</dcterms:created>
  <dcterms:modified xsi:type="dcterms:W3CDTF">2025-12-09T18:40:34Z</dcterms:modified>
  <cp:category/>
  <cp:contentStatus/>
</cp:coreProperties>
</file>
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c3026923_hallam_shu_ac_uk/Documents/year3/management-of-it-projects/assessment/Week 4 Estimation and Managing Risk/"/>
    </mc:Choice>
  </mc:AlternateContent>
  <xr:revisionPtr revIDLastSave="261" documentId="8_{E27096F5-DDFE-47D9-B526-C94B6315D1DF}" xr6:coauthVersionLast="47" xr6:coauthVersionMax="47" xr10:uidLastSave="{BCD992BB-7349-43BD-A56D-919BE2C41B23}"/>
  <bookViews>
    <workbookView xWindow="-120" yWindow="-120" windowWidth="29040" windowHeight="15840" activeTab="1" xr2:uid="{A59314E3-F314-4BEE-9F2A-F0F22E4A841E}"/>
  </bookViews>
  <sheets>
    <sheet name="Function Point Analysis" sheetId="1" r:id="rId1"/>
    <sheet name="Facto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6" i="1"/>
  <c r="E17" i="1"/>
  <c r="E18" i="1"/>
  <c r="E14" i="1"/>
  <c r="D15" i="1"/>
  <c r="D16" i="1"/>
  <c r="D17" i="1"/>
  <c r="D18" i="1"/>
  <c r="D14" i="1"/>
  <c r="C15" i="1"/>
  <c r="C16" i="1"/>
  <c r="C17" i="1"/>
  <c r="C18" i="1"/>
  <c r="C14" i="1"/>
  <c r="E20" i="1" s="1"/>
  <c r="E19" i="1" l="1"/>
  <c r="E21" i="1" s="1"/>
</calcChain>
</file>

<file path=xl/sharedStrings.xml><?xml version="1.0" encoding="utf-8"?>
<sst xmlns="http://schemas.openxmlformats.org/spreadsheetml/2006/main" count="56" uniqueCount="37">
  <si>
    <t>Complexity of Functions</t>
  </si>
  <si>
    <t>Factor</t>
  </si>
  <si>
    <t>Simple</t>
  </si>
  <si>
    <t>Average</t>
  </si>
  <si>
    <t>Complex</t>
  </si>
  <si>
    <t>External Inputs</t>
  </si>
  <si>
    <t>External Outputs</t>
  </si>
  <si>
    <t>External Inquiries</t>
  </si>
  <si>
    <t>Internal Logical Files</t>
  </si>
  <si>
    <t>External Interface Files</t>
  </si>
  <si>
    <t>Functional point computation</t>
  </si>
  <si>
    <t>Unadjusted Function Points (UFP)</t>
  </si>
  <si>
    <t>Technical Complexity Factor (TCF)</t>
  </si>
  <si>
    <t>Adjusted function points</t>
  </si>
  <si>
    <t>1 x 1</t>
  </si>
  <si>
    <t>1 x 6</t>
  </si>
  <si>
    <t>2 x 10</t>
  </si>
  <si>
    <t>1 x 7</t>
  </si>
  <si>
    <t>2 x 7</t>
  </si>
  <si>
    <t>2 x 6</t>
  </si>
  <si>
    <t>1 x 2</t>
  </si>
  <si>
    <t>1 x 3</t>
  </si>
  <si>
    <t>0 x 0</t>
  </si>
  <si>
    <t>Current factors used in Sheet1</t>
  </si>
  <si>
    <t>Type</t>
  </si>
  <si>
    <t>What I think it means</t>
  </si>
  <si>
    <t>User inputs which update files</t>
  </si>
  <si>
    <t>Output with processed pulled data</t>
  </si>
  <si>
    <t>Ready only requests only</t>
  </si>
  <si>
    <t>Data that this system manages</t>
  </si>
  <si>
    <t>Data that this system reads, not manages</t>
  </si>
  <si>
    <r>
      <t xml:space="preserve">1. Register account </t>
    </r>
    <r>
      <rPr>
        <b/>
        <sz val="11"/>
        <color theme="1"/>
        <rFont val="Aptos Narrow"/>
        <family val="2"/>
        <scheme val="minor"/>
      </rPr>
      <t>(Simple - 2)</t>
    </r>
    <r>
      <rPr>
        <sz val="11"/>
        <color theme="1"/>
        <rFont val="Aptos Narrow"/>
        <family val="2"/>
        <scheme val="minor"/>
      </rPr>
      <t xml:space="preserve">
2. Save favourite bus stop </t>
    </r>
    <r>
      <rPr>
        <b/>
        <sz val="11"/>
        <color theme="1"/>
        <rFont val="Aptos Narrow"/>
        <family val="2"/>
        <scheme val="minor"/>
      </rPr>
      <t>(Average - 7)</t>
    </r>
  </si>
  <si>
    <t>Factors and category and weight</t>
  </si>
  <si>
    <r>
      <t xml:space="preserve">1. Alerts about bus being delayed </t>
    </r>
    <r>
      <rPr>
        <b/>
        <sz val="11"/>
        <color theme="1"/>
        <rFont val="Aptos Narrow"/>
        <family val="2"/>
        <scheme val="minor"/>
      </rPr>
      <t>(Average - 6)</t>
    </r>
  </si>
  <si>
    <r>
      <t xml:space="preserve">1. Search for/plan a journey </t>
    </r>
    <r>
      <rPr>
        <b/>
        <sz val="11"/>
        <color theme="1"/>
        <rFont val="Aptos Narrow"/>
        <family val="2"/>
        <scheme val="minor"/>
      </rPr>
      <t>(Average - 7)</t>
    </r>
    <r>
      <rPr>
        <sz val="11"/>
        <color theme="1"/>
        <rFont val="Aptos Narrow"/>
        <family val="2"/>
        <scheme val="minor"/>
      </rPr>
      <t xml:space="preserve">
2. Check the arrival time of buses on bus stops </t>
    </r>
    <r>
      <rPr>
        <b/>
        <sz val="11"/>
        <color theme="1"/>
        <rFont val="Aptos Narrow"/>
        <family val="2"/>
        <scheme val="minor"/>
      </rPr>
      <t>(Average  - 7)</t>
    </r>
    <r>
      <rPr>
        <sz val="11"/>
        <color theme="1"/>
        <rFont val="Aptos Narrow"/>
        <family val="2"/>
        <scheme val="minor"/>
      </rPr>
      <t xml:space="preserve">
3. View the list of saved favourite bus stops </t>
    </r>
    <r>
      <rPr>
        <b/>
        <sz val="11"/>
        <color theme="1"/>
        <rFont val="Aptos Narrow"/>
        <family val="2"/>
        <scheme val="minor"/>
      </rPr>
      <t>(Simple - 1)</t>
    </r>
  </si>
  <si>
    <r>
      <t xml:space="preserve">1. Users table (proper database) </t>
    </r>
    <r>
      <rPr>
        <b/>
        <sz val="11"/>
        <color theme="1"/>
        <rFont val="Aptos Narrow"/>
        <family val="2"/>
        <scheme val="minor"/>
      </rPr>
      <t>(Simple- 1)</t>
    </r>
    <r>
      <rPr>
        <sz val="11"/>
        <color theme="1"/>
        <rFont val="Aptos Narrow"/>
        <family val="2"/>
        <scheme val="minor"/>
      </rPr>
      <t xml:space="preserve">
2. Bus stop table (maybe proper database table and local version where user saves to favourites?) </t>
    </r>
    <r>
      <rPr>
        <b/>
        <sz val="11"/>
        <color theme="1"/>
        <rFont val="Aptos Narrow"/>
        <family val="2"/>
        <scheme val="minor"/>
      </rPr>
      <t>(Average - 6)</t>
    </r>
    <r>
      <rPr>
        <sz val="11"/>
        <color theme="1"/>
        <rFont val="Aptos Narrow"/>
        <family val="2"/>
        <scheme val="minor"/>
      </rPr>
      <t xml:space="preserve">
3. Search history table in local database? </t>
    </r>
    <r>
      <rPr>
        <b/>
        <sz val="11"/>
        <color theme="1"/>
        <rFont val="Aptos Narrow"/>
        <family val="2"/>
        <scheme val="minor"/>
      </rPr>
      <t>(Average - 6)</t>
    </r>
  </si>
  <si>
    <r>
      <t xml:space="preserve">1. Bus timetables database </t>
    </r>
    <r>
      <rPr>
        <b/>
        <sz val="11"/>
        <color theme="1"/>
        <rFont val="Aptos Narrow"/>
        <family val="2"/>
        <scheme val="minor"/>
      </rPr>
      <t>(Simple - 3)</t>
    </r>
    <r>
      <rPr>
        <sz val="11"/>
        <color theme="1"/>
        <rFont val="Aptos Narrow"/>
        <family val="2"/>
        <scheme val="minor"/>
      </rPr>
      <t xml:space="preserve">
2. Real-time bus tracking API </t>
    </r>
    <r>
      <rPr>
        <b/>
        <sz val="11"/>
        <color theme="1"/>
        <rFont val="Aptos Narrow"/>
        <family val="2"/>
        <scheme val="minor"/>
      </rPr>
      <t>(Complex - 10)</t>
    </r>
    <r>
      <rPr>
        <sz val="11"/>
        <color theme="1"/>
        <rFont val="Aptos Narrow"/>
        <family val="2"/>
        <scheme val="minor"/>
      </rPr>
      <t xml:space="preserve">
3. Payment API </t>
    </r>
    <r>
      <rPr>
        <b/>
        <sz val="11"/>
        <color theme="1"/>
        <rFont val="Aptos Narrow"/>
        <family val="2"/>
        <scheme val="minor"/>
      </rPr>
      <t>(Complex - 10)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</si>
</sst>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 applyAlignment="1"/>
    <xf numFmtId="0" fontId="0" fillId="2" borderId="1" xfId="0" applyFill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70CB-4726-412F-A21A-0A896D9F3BE0}">
  <dimension ref="B2:E21"/>
  <sheetViews>
    <sheetView workbookViewId="0">
      <selection activeCell="F10" sqref="F10"/>
    </sheetView>
  </sheetViews>
  <sheetFormatPr defaultRowHeight="14.25"/>
  <cols>
    <col min="2" max="2" width="21" bestFit="1" customWidth="1"/>
  </cols>
  <sheetData>
    <row r="2" spans="2:5" ht="15">
      <c r="B2" s="5" t="s">
        <v>0</v>
      </c>
      <c r="C2" s="5"/>
      <c r="D2" s="5"/>
      <c r="E2" s="5"/>
    </row>
    <row r="4" spans="2:5" ht="15">
      <c r="B4" s="4" t="s">
        <v>1</v>
      </c>
      <c r="C4" s="4" t="s">
        <v>2</v>
      </c>
      <c r="D4" s="4" t="s">
        <v>3</v>
      </c>
      <c r="E4" s="4" t="s">
        <v>4</v>
      </c>
    </row>
    <row r="5" spans="2:5">
      <c r="B5" s="3" t="s">
        <v>5</v>
      </c>
      <c r="C5" s="2" t="s">
        <v>20</v>
      </c>
      <c r="D5" s="2" t="s">
        <v>17</v>
      </c>
      <c r="E5" s="2" t="s">
        <v>22</v>
      </c>
    </row>
    <row r="6" spans="2:5">
      <c r="B6" s="3" t="s">
        <v>6</v>
      </c>
      <c r="C6" s="2" t="s">
        <v>22</v>
      </c>
      <c r="D6" s="2" t="s">
        <v>15</v>
      </c>
      <c r="E6" s="2" t="s">
        <v>22</v>
      </c>
    </row>
    <row r="7" spans="2:5">
      <c r="B7" s="3" t="s">
        <v>7</v>
      </c>
      <c r="C7" s="2" t="s">
        <v>14</v>
      </c>
      <c r="D7" s="2" t="s">
        <v>18</v>
      </c>
      <c r="E7" s="2" t="s">
        <v>22</v>
      </c>
    </row>
    <row r="8" spans="2:5">
      <c r="B8" s="3" t="s">
        <v>8</v>
      </c>
      <c r="C8" s="2" t="s">
        <v>14</v>
      </c>
      <c r="D8" s="2" t="s">
        <v>19</v>
      </c>
      <c r="E8" s="2" t="s">
        <v>22</v>
      </c>
    </row>
    <row r="9" spans="2:5">
      <c r="B9" s="3" t="s">
        <v>9</v>
      </c>
      <c r="C9" s="2" t="s">
        <v>21</v>
      </c>
      <c r="D9" s="2" t="s">
        <v>22</v>
      </c>
      <c r="E9" s="2" t="s">
        <v>16</v>
      </c>
    </row>
    <row r="11" spans="2:5" ht="15">
      <c r="B11" s="5" t="s">
        <v>10</v>
      </c>
      <c r="C11" s="5"/>
      <c r="D11" s="5"/>
      <c r="E11" s="5"/>
    </row>
    <row r="13" spans="2:5">
      <c r="B13" s="3"/>
      <c r="C13" s="3" t="s">
        <v>2</v>
      </c>
      <c r="D13" s="3" t="s">
        <v>3</v>
      </c>
      <c r="E13" s="3" t="s">
        <v>4</v>
      </c>
    </row>
    <row r="14" spans="2:5">
      <c r="B14" s="3" t="s">
        <v>5</v>
      </c>
      <c r="C14" s="2">
        <f>LEFT(C5,FIND("x",C5)-2) * MID(C5,FIND("x",C5)+2,LEN(C5))</f>
        <v>2</v>
      </c>
      <c r="D14" s="2">
        <f>LEFT(D5,FIND("x",D5)-2) * MID(D5,FIND("x",D5)+2,LEN(D5))</f>
        <v>7</v>
      </c>
      <c r="E14" s="2">
        <f>LEFT(E5,FIND("x",E5)-2) * MID(E5,FIND("x",E5)+2,LEN(E5))</f>
        <v>0</v>
      </c>
    </row>
    <row r="15" spans="2:5">
      <c r="B15" s="3" t="s">
        <v>6</v>
      </c>
      <c r="C15" s="2">
        <f>LEFT(C6,FIND("x",C6)-2) * MID(C6,FIND("x",C6)+2,LEN(C6))</f>
        <v>0</v>
      </c>
      <c r="D15" s="2">
        <f>LEFT(D6,FIND("x",D6)-2) * MID(D6,FIND("x",D6)+2,LEN(D6))</f>
        <v>6</v>
      </c>
      <c r="E15" s="2">
        <f>LEFT(E6,FIND("x",E6)-2) * MID(E6,FIND("x",E6)+2,LEN(E6))</f>
        <v>0</v>
      </c>
    </row>
    <row r="16" spans="2:5">
      <c r="B16" s="3" t="s">
        <v>7</v>
      </c>
      <c r="C16" s="2">
        <f>LEFT(C7,FIND("x",C7)-2) * MID(C7,FIND("x",C7)+2,LEN(C7))</f>
        <v>1</v>
      </c>
      <c r="D16" s="2">
        <f>LEFT(D7,FIND("x",D7)-2) * MID(D7,FIND("x",D7)+2,LEN(D7))</f>
        <v>14</v>
      </c>
      <c r="E16" s="2">
        <f>LEFT(E7,FIND("x",E7)-2) * MID(E7,FIND("x",E7)+2,LEN(E7))</f>
        <v>0</v>
      </c>
    </row>
    <row r="17" spans="2:5">
      <c r="B17" s="3" t="s">
        <v>8</v>
      </c>
      <c r="C17" s="2">
        <f>LEFT(C8,FIND("x",C8)-2) * MID(C8,FIND("x",C8)+2,LEN(C8))</f>
        <v>1</v>
      </c>
      <c r="D17" s="2">
        <f>LEFT(D8,FIND("x",D8)-2) * MID(D8,FIND("x",D8)+2,LEN(D8))</f>
        <v>12</v>
      </c>
      <c r="E17" s="2">
        <f>LEFT(E8,FIND("x",E8)-2) * MID(E8,FIND("x",E8)+2,LEN(E8))</f>
        <v>0</v>
      </c>
    </row>
    <row r="18" spans="2:5">
      <c r="B18" s="3" t="s">
        <v>9</v>
      </c>
      <c r="C18" s="2">
        <f>LEFT(C9,FIND("x",C9)-2) * MID(C9,FIND("x",C9)+2,LEN(C9))</f>
        <v>3</v>
      </c>
      <c r="D18" s="2">
        <f>LEFT(D9,FIND("x",D9)-2) * MID(D9,FIND("x",D9)+2,LEN(D9))</f>
        <v>0</v>
      </c>
      <c r="E18" s="2">
        <f>LEFT(E9,FIND("x",E9)-2) * MID(E9,FIND("x",E9)+2,LEN(E9))</f>
        <v>20</v>
      </c>
    </row>
    <row r="19" spans="2:5">
      <c r="B19" s="6" t="s">
        <v>11</v>
      </c>
      <c r="C19" s="6"/>
      <c r="D19" s="6"/>
      <c r="E19" s="2">
        <f>SUM(C14:E18)</f>
        <v>66</v>
      </c>
    </row>
    <row r="20" spans="2:5">
      <c r="B20" s="6" t="s">
        <v>12</v>
      </c>
      <c r="C20" s="6"/>
      <c r="D20" s="6"/>
      <c r="E20" s="2">
        <f>0.65+0.01*(SUM(C14:C18)+SUM(D14:D18)+SUM(E14:E18))</f>
        <v>1.31</v>
      </c>
    </row>
    <row r="21" spans="2:5">
      <c r="B21" s="6" t="s">
        <v>13</v>
      </c>
      <c r="C21" s="6"/>
      <c r="D21" s="6"/>
      <c r="E21" s="2">
        <f>SUM(E19*E20)</f>
        <v>86.460000000000008</v>
      </c>
    </row>
  </sheetData>
  <mergeCells count="5">
    <mergeCell ref="B2:E2"/>
    <mergeCell ref="B11:E11"/>
    <mergeCell ref="B19:D19"/>
    <mergeCell ref="B20:D20"/>
    <mergeCell ref="B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1802-2E82-4425-86CB-A120EF3326CE}">
  <dimension ref="B2:U9"/>
  <sheetViews>
    <sheetView tabSelected="1" workbookViewId="0">
      <selection activeCell="J11" sqref="J11"/>
    </sheetView>
  </sheetViews>
  <sheetFormatPr defaultRowHeight="14.25"/>
  <cols>
    <col min="3" max="3" width="10.25" customWidth="1"/>
  </cols>
  <sheetData>
    <row r="2" spans="2:21" ht="15">
      <c r="B2" s="1" t="s">
        <v>23</v>
      </c>
    </row>
    <row r="3" spans="2:21" ht="15">
      <c r="B3" s="1"/>
    </row>
    <row r="4" spans="2:21" ht="15">
      <c r="B4" s="7" t="s">
        <v>24</v>
      </c>
      <c r="C4" s="7"/>
      <c r="D4" s="8" t="s">
        <v>25</v>
      </c>
      <c r="E4" s="8"/>
      <c r="F4" s="8"/>
      <c r="G4" s="8"/>
      <c r="H4" s="1" t="s">
        <v>32</v>
      </c>
    </row>
    <row r="5" spans="2:21" ht="37.5" customHeight="1">
      <c r="B5" s="11" t="s">
        <v>5</v>
      </c>
      <c r="C5" s="11"/>
      <c r="D5" s="9" t="s">
        <v>26</v>
      </c>
      <c r="E5" s="10"/>
      <c r="F5" s="10"/>
      <c r="G5" s="10"/>
      <c r="H5" s="15" t="s">
        <v>31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4"/>
      <c r="T5" s="14"/>
      <c r="U5" s="14"/>
    </row>
    <row r="6" spans="2:21" ht="37.5" customHeight="1">
      <c r="B6" s="11" t="s">
        <v>6</v>
      </c>
      <c r="C6" s="11"/>
      <c r="D6" s="12" t="s">
        <v>27</v>
      </c>
      <c r="E6" s="12"/>
      <c r="F6" s="12"/>
      <c r="G6" s="13"/>
      <c r="H6" s="16" t="s">
        <v>33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4"/>
      <c r="T6" s="14"/>
      <c r="U6" s="14"/>
    </row>
    <row r="7" spans="2:21" ht="56.25" customHeight="1">
      <c r="B7" s="11" t="s">
        <v>7</v>
      </c>
      <c r="C7" s="11"/>
      <c r="D7" s="9" t="s">
        <v>28</v>
      </c>
      <c r="E7" s="10"/>
      <c r="F7" s="10"/>
      <c r="G7" s="10"/>
      <c r="H7" s="15" t="s">
        <v>34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4"/>
      <c r="T7" s="14"/>
      <c r="U7" s="14"/>
    </row>
    <row r="8" spans="2:21" ht="56.25" customHeight="1">
      <c r="B8" s="11" t="s">
        <v>8</v>
      </c>
      <c r="C8" s="11"/>
      <c r="D8" s="9" t="s">
        <v>29</v>
      </c>
      <c r="E8" s="10"/>
      <c r="F8" s="10"/>
      <c r="G8" s="10"/>
      <c r="H8" s="15" t="s">
        <v>35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4"/>
      <c r="T8" s="14"/>
      <c r="U8" s="14"/>
    </row>
    <row r="9" spans="2:21" ht="56.25" customHeight="1">
      <c r="B9" s="11" t="s">
        <v>9</v>
      </c>
      <c r="C9" s="11"/>
      <c r="D9" s="9" t="s">
        <v>30</v>
      </c>
      <c r="E9" s="10"/>
      <c r="F9" s="10"/>
      <c r="G9" s="10"/>
      <c r="H9" s="15" t="s">
        <v>36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4"/>
      <c r="T9" s="14"/>
      <c r="U9" s="14"/>
    </row>
  </sheetData>
  <mergeCells count="16">
    <mergeCell ref="H9:R9"/>
    <mergeCell ref="H7:R7"/>
    <mergeCell ref="H6:R6"/>
    <mergeCell ref="H5:R5"/>
    <mergeCell ref="H8:R8"/>
    <mergeCell ref="D4:G4"/>
    <mergeCell ref="D7:G7"/>
    <mergeCell ref="D8:G8"/>
    <mergeCell ref="D9:G9"/>
    <mergeCell ref="D5:G5"/>
    <mergeCell ref="B9:C9"/>
    <mergeCell ref="B8:C8"/>
    <mergeCell ref="B7:C7"/>
    <mergeCell ref="B6:C6"/>
    <mergeCell ref="B5:C5"/>
    <mergeCell ref="B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 Point Analysis</vt:lpstr>
      <vt:lpstr>Factors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Watson, Jack (Student)</dc:creator>
  <cp:keywords/>
  <dc:description/>
  <cp:lastModifiedBy>Watson, Jack (Student)</cp:lastModifiedBy>
  <cp:revision/>
  <dcterms:created xsi:type="dcterms:W3CDTF">2025-10-21T15:06:10Z</dcterms:created>
  <dcterms:modified xsi:type="dcterms:W3CDTF">2025-10-22T08:53:32Z</dcterms:modified>
  <cp:category/>
  <cp:contentStatus/>
</cp:coreProperties>
</file>
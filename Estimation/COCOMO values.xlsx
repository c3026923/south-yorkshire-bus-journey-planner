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6923_hallam_shu_ac_uk/Documents/year3/management-of-it-projects/assessment/Week 4 Estimation and Managing Risk/"/>
    </mc:Choice>
  </mc:AlternateContent>
  <xr:revisionPtr revIDLastSave="808" documentId="8_{1936314A-44B8-4736-9CF3-D4D9C05AC55A}" xr6:coauthVersionLast="47" xr6:coauthVersionMax="47" xr10:uidLastSave="{2A7318CE-5F48-4795-94C5-DD6A2517AD14}"/>
  <bookViews>
    <workbookView xWindow="-105" yWindow="0" windowWidth="19410" windowHeight="20985" xr2:uid="{B4D5FC0D-E702-4523-8331-7B84D6BD8FED}"/>
  </bookViews>
  <sheets>
    <sheet name="Estimated Values" sheetId="1" r:id="rId1"/>
    <sheet name="Software Scale Drivers" sheetId="2" r:id="rId2"/>
    <sheet name="Software Cost Drivers" sheetId="6" r:id="rId3"/>
    <sheet name="Platform Factors" sheetId="7" r:id="rId4"/>
    <sheet name="Personnel Factors" sheetId="8" r:id="rId5"/>
    <sheet name="Project Factor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<sst xmlns="http://schemas.openxmlformats.org/spreadsheetml/2006/main" count="436" uniqueCount="231">
  <si>
    <t>Estimated Values</t>
  </si>
  <si>
    <t>Rating</t>
  </si>
  <si>
    <t>Notes</t>
  </si>
  <si>
    <t>Calculations based on this LINK</t>
  </si>
  <si>
    <t>Software Scale Drivers</t>
  </si>
  <si>
    <t>Precedentedness</t>
  </si>
  <si>
    <t>High</t>
  </si>
  <si>
    <t>Development Flexibility</t>
  </si>
  <si>
    <t>Nominal</t>
  </si>
  <si>
    <t>Architecture / Risk Resolution</t>
  </si>
  <si>
    <t>Very High</t>
  </si>
  <si>
    <t>Team Cohesion</t>
  </si>
  <si>
    <t>Process Maturity</t>
  </si>
  <si>
    <t>Defaulted this one to Nominal as too complicated to estimate</t>
  </si>
  <si>
    <t>Software Cost Drivers Product</t>
  </si>
  <si>
    <t>Required Software Reliability</t>
  </si>
  <si>
    <t>Low</t>
  </si>
  <si>
    <t>Data Base Size</t>
  </si>
  <si>
    <t>Product Complexity</t>
  </si>
  <si>
    <t>Developed for Reusability</t>
  </si>
  <si>
    <t>Documentation Match to Lifecycle Needs</t>
  </si>
  <si>
    <t>Platform Factors</t>
  </si>
  <si>
    <t>Time Constraint</t>
  </si>
  <si>
    <t>Storage Constraint</t>
  </si>
  <si>
    <t>Platform Volatility</t>
  </si>
  <si>
    <t>Personnel Factors</t>
  </si>
  <si>
    <t>Analyst Capability</t>
  </si>
  <si>
    <t xml:space="preserve">Programmer Capability	</t>
  </si>
  <si>
    <t xml:space="preserve">Personnel Continuity	</t>
  </si>
  <si>
    <t xml:space="preserve">Application Experience	</t>
  </si>
  <si>
    <t>Very Low</t>
  </si>
  <si>
    <t xml:space="preserve">Platform Experience	</t>
  </si>
  <si>
    <t xml:space="preserve">Language and Toolset Experience	</t>
  </si>
  <si>
    <t>Project Factors</t>
  </si>
  <si>
    <t xml:space="preserve">Use of Software Tools	</t>
  </si>
  <si>
    <t xml:space="preserve">Multisite Development	</t>
  </si>
  <si>
    <t xml:space="preserve">Required Development Schedule	</t>
  </si>
  <si>
    <t>Results</t>
  </si>
  <si>
    <t>First Version</t>
  </si>
  <si>
    <t>Also saved to Jack's OneDrive as a PDF print of the screen</t>
  </si>
  <si>
    <t>Feature</t>
  </si>
  <si>
    <t>Nominal / High</t>
  </si>
  <si>
    <t>Extra High</t>
  </si>
  <si>
    <t>Organizational understanding of product
objectives</t>
  </si>
  <si>
    <t>General</t>
  </si>
  <si>
    <t>Considerable</t>
  </si>
  <si>
    <t>Thorough</t>
  </si>
  <si>
    <t>Experience in working with related software
systems</t>
  </si>
  <si>
    <t>Moderate</t>
  </si>
  <si>
    <t>Extensive</t>
  </si>
  <si>
    <t>Concurrent development of associated new
hardware and operational procedures</t>
  </si>
  <si>
    <t>Some</t>
  </si>
  <si>
    <t>Need for innovative data processing
architectures, algorithms</t>
  </si>
  <si>
    <t>Minimal</t>
  </si>
  <si>
    <t>Need for software conformance with pre-established requirements</t>
  </si>
  <si>
    <t>Full</t>
  </si>
  <si>
    <t>Basic</t>
  </si>
  <si>
    <t>Need for software conformance with external interface specifications</t>
  </si>
  <si>
    <t>Premium on early completion</t>
  </si>
  <si>
    <t>Medium</t>
  </si>
  <si>
    <t>Architecture Risk Resolution</t>
  </si>
  <si>
    <t>Characteristic</t>
  </si>
  <si>
    <t>Risk Management Plan
identifies all critical risk items,
establishes milestones for
resolving them by PDR</t>
  </si>
  <si>
    <t>None</t>
  </si>
  <si>
    <t>Little</t>
  </si>
  <si>
    <t>Generally</t>
  </si>
  <si>
    <t>Mostly</t>
  </si>
  <si>
    <t>Fully</t>
  </si>
  <si>
    <t>Schedule, budget, and internal
milestones through PDR
compatible with Risk
Management Plan</t>
  </si>
  <si>
    <t>Percent of development
schedule devoted to establishing
architecture, given general
product objectives</t>
  </si>
  <si>
    <t>Percent of required top software
architects available to project</t>
  </si>
  <si>
    <t>Tool support available for
resolving risk items, developing
and verifying architectural specs</t>
  </si>
  <si>
    <t>Good</t>
  </si>
  <si>
    <t>Strong</t>
  </si>
  <si>
    <t>Level of uncertainty in Key
architecture drivers: mission,
user interface, COTS, hardware,
technology, performance.</t>
  </si>
  <si>
    <t>Extreme</t>
  </si>
  <si>
    <t>Significant</t>
  </si>
  <si>
    <t>Very Little</t>
  </si>
  <si>
    <t>Number and criticality of risk items</t>
  </si>
  <si>
    <t>&gt;10 Critical</t>
  </si>
  <si>
    <t>5-10 Critical</t>
  </si>
  <si>
    <t>2-4 Critical</t>
  </si>
  <si>
    <t>1 Critical</t>
  </si>
  <si>
    <t>&gt;5 Non-Critical</t>
  </si>
  <si>
    <t>&lt;5 Non-Critical</t>
  </si>
  <si>
    <t>Team Rating Components</t>
  </si>
  <si>
    <t>Consistency of stakeholder
objectives and cultures</t>
  </si>
  <si>
    <t>Ability, willingness of
stakeholders to accommodate
other stakeholders’ objectives</t>
  </si>
  <si>
    <t>Experience of stakeholders in
operating as a team</t>
  </si>
  <si>
    <t>Stakeholder teambuilding to
achieve shared vision and
commitments</t>
  </si>
  <si>
    <t>Key Process Areas</t>
  </si>
  <si>
    <t>Almost Always (&gt;90%)</t>
  </si>
  <si>
    <t>Often (60-90%)</t>
  </si>
  <si>
    <t>About Half (40-60%)</t>
  </si>
  <si>
    <t>Occassionally (10-40%)</t>
  </si>
  <si>
    <t>Rarely if Ever (&lt;10%)</t>
  </si>
  <si>
    <t>Does Not Apply</t>
  </si>
  <si>
    <t>Don't Know</t>
  </si>
  <si>
    <t>Requirements Management</t>
  </si>
  <si>
    <t>Software Project Planning</t>
  </si>
  <si>
    <t>Software Project Tracking and Oversight</t>
  </si>
  <si>
    <t>Software Subcontract Management</t>
  </si>
  <si>
    <t>Software Quality Assurance</t>
  </si>
  <si>
    <t>Software Configuration Management</t>
  </si>
  <si>
    <t>Organization Process Focus</t>
  </si>
  <si>
    <t>Organization Process Definition</t>
  </si>
  <si>
    <t>Training Program</t>
  </si>
  <si>
    <t>Integrated Software Management</t>
  </si>
  <si>
    <t>Software Product Engineering</t>
  </si>
  <si>
    <t>Intergroup Coordination</t>
  </si>
  <si>
    <t>Peer Reviews</t>
  </si>
  <si>
    <t>Quantitative Process Management</t>
  </si>
  <si>
    <t>Software Quality Management</t>
  </si>
  <si>
    <t>Defect Prevention</t>
  </si>
  <si>
    <t>Technology Change Management</t>
  </si>
  <si>
    <t>Process Change Management</t>
  </si>
  <si>
    <t>RELY</t>
  </si>
  <si>
    <t>slight inconvenience</t>
  </si>
  <si>
    <t>low, easily recoverable losses</t>
  </si>
  <si>
    <t>moderate, easily recoverable losses</t>
  </si>
  <si>
    <t>high financial loss</t>
  </si>
  <si>
    <t>risk to human life</t>
  </si>
  <si>
    <t>DATA</t>
  </si>
  <si>
    <t>DB bytes/Pgm SLOC &lt; 10</t>
  </si>
  <si>
    <t xml:space="preserve">10 less than equal to D/P &lt; 100 </t>
  </si>
  <si>
    <t>100 less than equal to D/P &lt; 1000</t>
  </si>
  <si>
    <t>D/P more than equal to 1000</t>
  </si>
  <si>
    <t>Control Operations</t>
  </si>
  <si>
    <t>Computational Operations</t>
  </si>
  <si>
    <t>Device-dependent Operations</t>
  </si>
  <si>
    <t>Data Magement Operations</t>
  </si>
  <si>
    <t>User Interface Management Operations</t>
  </si>
  <si>
    <t>Straight-line code with a few non-nested structured programming operators: DOs, CASEs, IFTHENELSEs. Simple module composition via procedure calls or simple scripts.</t>
  </si>
  <si>
    <t>Evaluation of simple expressions: e.g., A=B+C*(DE)</t>
  </si>
  <si>
    <t>Simple read, write statements with
simple formats.</t>
  </si>
  <si>
    <t>Simple arrays in main memory.
Simple COTS-DB queries, updates.</t>
  </si>
  <si>
    <t>Simple input forms, report generators.</t>
  </si>
  <si>
    <t>Straightforward nesting of structured programming operators. Mostly simple predicates</t>
  </si>
  <si>
    <t>Evaluation of moderate-level
expressions: e.g., D=SQRT(B**2-4.*A*C)</t>
  </si>
  <si>
    <t>No cognizance needed of particular processor or I/O device characteristics. I/O done at GET/PUT level.</t>
  </si>
  <si>
    <t>Single file subsetting with no data
structure changes, no edits, no intermediate files. Moderately complex COTS-DB queries, updates.</t>
  </si>
  <si>
    <t>Use of simple graphic user interface (GUI) builders.</t>
  </si>
  <si>
    <t>Mostly simple nesting.
Some intermodule control. Decision tables.Simple callbacks or message passing,
including middleware-supported distributed processing</t>
  </si>
  <si>
    <t>Use of standard math and statistical routines. Basic
matrix/vector operations.</t>
  </si>
  <si>
    <t>I/O processing includes device selection, status checking and error
processing.</t>
  </si>
  <si>
    <t>Multi-file input and single file output. Simple structural changes, simple edits. Complex COTS-DB queries, updates.</t>
  </si>
  <si>
    <t>Simple use of widget set.</t>
  </si>
  <si>
    <t>Highly nested structured programming operators with many compound predicates. Queue and stack control. Homogeneous, distributed processing. Single processor soft real-time control</t>
  </si>
  <si>
    <t>Basic numerical analysis: multivariate interpolation, ordinary differential equations. Basic truncation, roundoff concerns.</t>
  </si>
  <si>
    <t>Operations at physical I/O level (physical storage address translations; seeks, reads, etc.). Optimized I/O overlap.</t>
  </si>
  <si>
    <t>Simple triggers activated by data
stream contents. Complex data
restructuring</t>
  </si>
  <si>
    <t>Widget set development and extension. Simple voice I/O, multimedia.</t>
  </si>
  <si>
    <t>Reentrant and recursive coding. Fixed-priority interrupt handling. Task synchronization, complex callbacks, heterogeneous distributed processing. Single processor hard real-time control</t>
  </si>
  <si>
    <t>Difficult but structured numerical analysis: nearsingular matrix equations, partial differential equations. Simple parallelization.</t>
  </si>
  <si>
    <t>Routines for interrupt diagnosis, servicing, masking. Communication
line handling. Performance-intensive embedded-systems.</t>
  </si>
  <si>
    <t>Distributed database coordination. Complex triggers.
Search optimization</t>
  </si>
  <si>
    <t>Moderately complex 2D/ 3D, dynamic
graphics, multimedia.</t>
  </si>
  <si>
    <t>Multiple resource scheduling with dynamically changing priorities. Microcode- level control. Distributed hard
real-time control.</t>
  </si>
  <si>
    <t>Difficult and unstructured
numerical analysis: highly accurate analysis of noisy, stochastic data. Complex
parallelization.</t>
  </si>
  <si>
    <t>Device timingdependent coding, micro-programmed operations. Performance-critical embedded systems.</t>
  </si>
  <si>
    <t>Highly coupled, dynamic relational and object
structures. Natural language data
management.</t>
  </si>
  <si>
    <t>Complex multimedia, virtual reality.</t>
  </si>
  <si>
    <t>Required Re-usability</t>
  </si>
  <si>
    <t>RUSE</t>
  </si>
  <si>
    <t>none</t>
  </si>
  <si>
    <t>across project</t>
  </si>
  <si>
    <t>across program</t>
  </si>
  <si>
    <t>across product line</t>
  </si>
  <si>
    <t>across multiple product lines</t>
  </si>
  <si>
    <t>Documentation match to life-cycle needs</t>
  </si>
  <si>
    <t>DOCU</t>
  </si>
  <si>
    <t>Many life-cycle needs uncovered</t>
  </si>
  <si>
    <t>Some life-cycle needs uncovered</t>
  </si>
  <si>
    <t>Right-sized to life-cycle needs</t>
  </si>
  <si>
    <t>Excessive for life-cycle needs</t>
  </si>
  <si>
    <t>Very excessive for life-cycle needs</t>
  </si>
  <si>
    <t>Execution Time Constraint</t>
  </si>
  <si>
    <t>TIME</t>
  </si>
  <si>
    <t>less than equal 50% use of available execution time</t>
  </si>
  <si>
    <t>Main Storage Constraint</t>
  </si>
  <si>
    <t>STOR</t>
  </si>
  <si>
    <t>less than equal 50% use of available storage</t>
  </si>
  <si>
    <t>PVOL</t>
  </si>
  <si>
    <t>major change every 12 months
minor change every 1 month</t>
  </si>
  <si>
    <t>major: 6 months
minor: 2 weeks</t>
  </si>
  <si>
    <t>major: 2 months
minor: 1 week</t>
  </si>
  <si>
    <t>major: 2 week
minor: 2 days</t>
  </si>
  <si>
    <t>ACAP</t>
  </si>
  <si>
    <t>15th percentile</t>
  </si>
  <si>
    <t>35th percentile</t>
  </si>
  <si>
    <t>55th percentile</t>
  </si>
  <si>
    <t>75th percentile</t>
  </si>
  <si>
    <t>90th percentile</t>
  </si>
  <si>
    <t>Programmer Capability</t>
  </si>
  <si>
    <t>PCAP</t>
  </si>
  <si>
    <t>Applications Experience</t>
  </si>
  <si>
    <t>AEXP</t>
  </si>
  <si>
    <t>2 months</t>
  </si>
  <si>
    <t>6 months</t>
  </si>
  <si>
    <t>1 year</t>
  </si>
  <si>
    <t>3 years</t>
  </si>
  <si>
    <t>6 years</t>
  </si>
  <si>
    <t>Platform Experience</t>
  </si>
  <si>
    <t>PEXP</t>
  </si>
  <si>
    <t>Language and Tool Experience</t>
  </si>
  <si>
    <t>LTEX</t>
  </si>
  <si>
    <t>Personnel Continuity</t>
  </si>
  <si>
    <t>PCON</t>
  </si>
  <si>
    <t>48% / year</t>
  </si>
  <si>
    <t>24% / year</t>
  </si>
  <si>
    <t>12% / year</t>
  </si>
  <si>
    <t>6% / year</t>
  </si>
  <si>
    <t>3% / year</t>
  </si>
  <si>
    <t>Use of Software Tools</t>
  </si>
  <si>
    <t>TOOL</t>
  </si>
  <si>
    <t>edit, code, debug</t>
  </si>
  <si>
    <t>simple, frontend, 
back end, CASE, 
little integration</t>
  </si>
  <si>
    <t>basic lifecycle tools,
moderately integrated</t>
  </si>
  <si>
    <t>strong, mature life cycle tools,
moderately integrated</t>
  </si>
  <si>
    <t>strong, mature, pro-active lifecycle tools,
well integrated with processes,
methods, reuse</t>
  </si>
  <si>
    <t>Multisite Development</t>
  </si>
  <si>
    <t>SITE</t>
  </si>
  <si>
    <t>some phone, email</t>
  </si>
  <si>
    <t>individual phone, FAX</t>
  </si>
  <si>
    <t>Narrowband email</t>
  </si>
  <si>
    <t>Wideband electronic communication</t>
  </si>
  <si>
    <t>Wideband electronic communication, occastional video conference</t>
  </si>
  <si>
    <t>Interactive media</t>
  </si>
  <si>
    <t>Required Development Schedule</t>
  </si>
  <si>
    <t>SCED</t>
  </si>
  <si>
    <t>75% of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</si>
</sst>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  <xf numFmtId="0" fontId="1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top" wrapText="1"/>
    </xf>
    <xf numFmtId="9" fontId="0" fillId="0" borderId="1" xfId="0" applyNumberFormat="1" applyBorder="1"/>
    <xf numFmtId="9" fontId="0" fillId="0" borderId="1" xfId="0" applyNumberFormat="1" applyBorder="1" applyAlignment="1">
      <alignment vertical="top" wrapText="1"/>
    </xf>
    <xf numFmtId="0" fontId="2" fillId="0" borderId="0" xfId="1"/>
    <xf numFmtId="9" fontId="0" fillId="2" borderId="1" xfId="0" applyNumberFormat="1" applyFill="1" applyBorder="1"/>
    <xf numFmtId="9" fontId="0" fillId="0" borderId="1" xfId="0" applyNumberFormat="1" applyBorder="1" applyAlignment="1">
      <alignment vertical="top"/>
    </xf>
    <xf numFmtId="9" fontId="0" fillId="2" borderId="1" xfId="0" applyNumberForma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30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oftwarecost.org/tools/COCOMO/data/COCOMO_October_23_2025_12_21_47_455817.txt" TargetMode="External"/><Relationship Id="rId1" Type="http://schemas.openxmlformats.org/officeDocument/2006/relationships/hyperlink" Target="https://athena.ecs.csus.edu/~buckley/CSc231_files/Cocomo_II_Manual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79B2-552B-47A4-A8EE-BF19A6A6D384}">
  <dimension ref="B2:E38"/>
  <sheetViews>
    <sheetView tabSelected="1" workbookViewId="0">
      <selection activeCell="D47" sqref="D47"/>
    </sheetView>
  </sheetViews>
  <sheetFormatPr defaultRowHeight="15"/>
  <cols>
    <col min="2" max="2" width="38.7109375" customWidth="1"/>
    <col min="3" max="3" width="14.28515625" customWidth="1"/>
    <col min="4" max="4" width="14.42578125" bestFit="1" customWidth="1"/>
    <col min="5" max="5" width="55" bestFit="1" customWidth="1"/>
    <col min="7" max="7" width="9.140625" customWidth="1"/>
  </cols>
  <sheetData>
    <row r="2" spans="2:5">
      <c r="B2" s="5" t="s">
        <v>0</v>
      </c>
      <c r="C2" s="5" t="s">
        <v>1</v>
      </c>
      <c r="E2" s="5" t="s">
        <v>2</v>
      </c>
    </row>
    <row r="3" spans="2:5">
      <c r="B3" s="5"/>
      <c r="E3" s="20" t="s">
        <v>3</v>
      </c>
    </row>
    <row r="4" spans="2:5">
      <c r="B4" s="24" t="s">
        <v>4</v>
      </c>
    </row>
    <row r="5" spans="2:5">
      <c r="B5" t="s">
        <v>5</v>
      </c>
      <c r="C5" t="s">
        <v>6</v>
      </c>
    </row>
    <row r="6" spans="2:5">
      <c r="B6" t="s">
        <v>7</v>
      </c>
      <c r="C6" t="s">
        <v>8</v>
      </c>
    </row>
    <row r="7" spans="2:5">
      <c r="B7" t="s">
        <v>9</v>
      </c>
      <c r="C7" t="s">
        <v>10</v>
      </c>
    </row>
    <row r="8" spans="2:5">
      <c r="B8" t="s">
        <v>11</v>
      </c>
      <c r="C8" t="s">
        <v>10</v>
      </c>
    </row>
    <row r="9" spans="2:5">
      <c r="B9" t="s">
        <v>12</v>
      </c>
      <c r="C9" t="s">
        <v>8</v>
      </c>
      <c r="E9" t="s">
        <v>13</v>
      </c>
    </row>
    <row r="11" spans="2:5">
      <c r="B11" s="25" t="s">
        <v>14</v>
      </c>
    </row>
    <row r="12" spans="2:5">
      <c r="B12" s="26" t="s">
        <v>15</v>
      </c>
      <c r="C12" t="s">
        <v>16</v>
      </c>
    </row>
    <row r="13" spans="2:5">
      <c r="B13" s="26" t="s">
        <v>17</v>
      </c>
      <c r="C13" t="s">
        <v>8</v>
      </c>
    </row>
    <row r="14" spans="2:5">
      <c r="B14" s="26" t="s">
        <v>18</v>
      </c>
      <c r="C14" t="s">
        <v>8</v>
      </c>
    </row>
    <row r="15" spans="2:5">
      <c r="B15" s="26" t="s">
        <v>19</v>
      </c>
      <c r="C15" t="s">
        <v>8</v>
      </c>
    </row>
    <row r="16" spans="2:5">
      <c r="B16" s="26" t="s">
        <v>20</v>
      </c>
      <c r="C16" t="s">
        <v>8</v>
      </c>
    </row>
    <row r="18" spans="2:3">
      <c r="B18" s="5" t="s">
        <v>21</v>
      </c>
    </row>
    <row r="19" spans="2:3">
      <c r="B19" s="26" t="s">
        <v>22</v>
      </c>
      <c r="C19" t="s">
        <v>8</v>
      </c>
    </row>
    <row r="20" spans="2:3">
      <c r="B20" s="26" t="s">
        <v>23</v>
      </c>
      <c r="C20" t="s">
        <v>8</v>
      </c>
    </row>
    <row r="21" spans="2:3">
      <c r="B21" s="26" t="s">
        <v>24</v>
      </c>
      <c r="C21" t="s">
        <v>16</v>
      </c>
    </row>
    <row r="23" spans="2:3">
      <c r="B23" s="27" t="s">
        <v>25</v>
      </c>
    </row>
    <row r="24" spans="2:3">
      <c r="B24" s="26" t="s">
        <v>26</v>
      </c>
      <c r="C24" t="s">
        <v>6</v>
      </c>
    </row>
    <row r="25" spans="2:3">
      <c r="B25" s="26" t="s">
        <v>27</v>
      </c>
      <c r="C25" t="s">
        <v>6</v>
      </c>
    </row>
    <row r="26" spans="2:3">
      <c r="B26" s="26" t="s">
        <v>28</v>
      </c>
      <c r="C26" t="s">
        <v>10</v>
      </c>
    </row>
    <row r="27" spans="2:3">
      <c r="B27" s="26" t="s">
        <v>29</v>
      </c>
      <c r="C27" t="s">
        <v>30</v>
      </c>
    </row>
    <row r="28" spans="2:3">
      <c r="B28" s="26" t="s">
        <v>31</v>
      </c>
      <c r="C28" t="s">
        <v>8</v>
      </c>
    </row>
    <row r="29" spans="2:3">
      <c r="B29" s="26" t="s">
        <v>32</v>
      </c>
      <c r="C29" t="s">
        <v>6</v>
      </c>
    </row>
    <row r="31" spans="2:3">
      <c r="B31" s="24" t="s">
        <v>33</v>
      </c>
    </row>
    <row r="32" spans="2:3">
      <c r="B32" s="26" t="s">
        <v>34</v>
      </c>
      <c r="C32" t="s">
        <v>10</v>
      </c>
    </row>
    <row r="33" spans="2:5">
      <c r="B33" s="26" t="s">
        <v>35</v>
      </c>
      <c r="C33" t="s">
        <v>6</v>
      </c>
    </row>
    <row r="34" spans="2:5">
      <c r="B34" s="26" t="s">
        <v>36</v>
      </c>
      <c r="C34" t="s">
        <v>8</v>
      </c>
    </row>
    <row r="37" spans="2:5">
      <c r="B37" s="27" t="s">
        <v>37</v>
      </c>
    </row>
    <row r="38" spans="2:5">
      <c r="B38" s="20" t="s">
        <v>38</v>
      </c>
      <c r="E38" t="s">
        <v>39</v>
      </c>
    </row>
  </sheetData>
  <conditionalFormatting sqref="C5:C9">
    <cfRule type="containsText" dxfId="29" priority="25" operator="containsText" text="Extra High">
      <formula>NOT(ISERROR(SEARCH("Extra High",C5)))</formula>
    </cfRule>
    <cfRule type="containsText" dxfId="28" priority="26" operator="containsText" text="Very Low">
      <formula>NOT(ISERROR(SEARCH("Very Low",C5)))</formula>
    </cfRule>
    <cfRule type="containsText" dxfId="27" priority="27" operator="containsText" text="Low">
      <formula>NOT(ISERROR(SEARCH("Low",C5)))</formula>
    </cfRule>
    <cfRule type="containsText" dxfId="26" priority="28" operator="containsText" text="Nominal">
      <formula>NOT(ISERROR(SEARCH("Nominal",C5)))</formula>
    </cfRule>
    <cfRule type="containsText" dxfId="25" priority="29" operator="containsText" text="Very High">
      <formula>NOT(ISERROR(SEARCH("Very High",C5)))</formula>
    </cfRule>
    <cfRule type="containsText" dxfId="24" priority="30" operator="containsText" text="High">
      <formula>NOT(ISERROR(SEARCH("High",C5)))</formula>
    </cfRule>
  </conditionalFormatting>
  <conditionalFormatting sqref="C12:C16">
    <cfRule type="containsText" dxfId="23" priority="19" operator="containsText" text="Extra High">
      <formula>NOT(ISERROR(SEARCH("Extra High",C12)))</formula>
    </cfRule>
    <cfRule type="containsText" dxfId="22" priority="20" operator="containsText" text="Very Low">
      <formula>NOT(ISERROR(SEARCH("Very Low",C12)))</formula>
    </cfRule>
    <cfRule type="containsText" dxfId="21" priority="21" operator="containsText" text="Low">
      <formula>NOT(ISERROR(SEARCH("Low",C12)))</formula>
    </cfRule>
    <cfRule type="containsText" dxfId="20" priority="22" operator="containsText" text="Nominal">
      <formula>NOT(ISERROR(SEARCH("Nominal",C12)))</formula>
    </cfRule>
    <cfRule type="containsText" dxfId="19" priority="23" operator="containsText" text="Very High">
      <formula>NOT(ISERROR(SEARCH("Very High",C12)))</formula>
    </cfRule>
    <cfRule type="containsText" dxfId="18" priority="24" operator="containsText" text="High">
      <formula>NOT(ISERROR(SEARCH("High",C12)))</formula>
    </cfRule>
  </conditionalFormatting>
  <conditionalFormatting sqref="C19:C21">
    <cfRule type="containsText" dxfId="17" priority="13" operator="containsText" text="Extra High">
      <formula>NOT(ISERROR(SEARCH("Extra High",C19)))</formula>
    </cfRule>
    <cfRule type="containsText" dxfId="16" priority="14" operator="containsText" text="Very Low">
      <formula>NOT(ISERROR(SEARCH("Very Low",C19)))</formula>
    </cfRule>
    <cfRule type="containsText" dxfId="15" priority="15" operator="containsText" text="Low">
      <formula>NOT(ISERROR(SEARCH("Low",C19)))</formula>
    </cfRule>
    <cfRule type="containsText" dxfId="14" priority="16" operator="containsText" text="Nominal">
      <formula>NOT(ISERROR(SEARCH("Nominal",C19)))</formula>
    </cfRule>
    <cfRule type="containsText" dxfId="13" priority="17" operator="containsText" text="Very High">
      <formula>NOT(ISERROR(SEARCH("Very High",C19)))</formula>
    </cfRule>
    <cfRule type="containsText" dxfId="12" priority="18" operator="containsText" text="High">
      <formula>NOT(ISERROR(SEARCH("High",C19)))</formula>
    </cfRule>
  </conditionalFormatting>
  <conditionalFormatting sqref="C24:C29">
    <cfRule type="containsText" dxfId="11" priority="7" operator="containsText" text="Extra High">
      <formula>NOT(ISERROR(SEARCH("Extra High",C24)))</formula>
    </cfRule>
    <cfRule type="containsText" dxfId="10" priority="8" operator="containsText" text="Very Low">
      <formula>NOT(ISERROR(SEARCH("Very Low",C24)))</formula>
    </cfRule>
    <cfRule type="containsText" dxfId="9" priority="9" operator="containsText" text="Low">
      <formula>NOT(ISERROR(SEARCH("Low",C24)))</formula>
    </cfRule>
    <cfRule type="containsText" dxfId="8" priority="10" operator="containsText" text="Nominal">
      <formula>NOT(ISERROR(SEARCH("Nominal",C24)))</formula>
    </cfRule>
    <cfRule type="containsText" dxfId="7" priority="11" operator="containsText" text="Very High">
      <formula>NOT(ISERROR(SEARCH("Very High",C24)))</formula>
    </cfRule>
    <cfRule type="containsText" dxfId="6" priority="12" operator="containsText" text="High">
      <formula>NOT(ISERROR(SEARCH("High",C24)))</formula>
    </cfRule>
  </conditionalFormatting>
  <conditionalFormatting sqref="C32:C34">
    <cfRule type="containsText" dxfId="5" priority="1" operator="containsText" text="Extra High">
      <formula>NOT(ISERROR(SEARCH("Extra High",C32)))</formula>
    </cfRule>
    <cfRule type="containsText" dxfId="4" priority="2" operator="containsText" text="Very Low">
      <formula>NOT(ISERROR(SEARCH("Very Low",C32)))</formula>
    </cfRule>
    <cfRule type="containsText" dxfId="3" priority="3" operator="containsText" text="Low">
      <formula>NOT(ISERROR(SEARCH("Low",C32)))</formula>
    </cfRule>
    <cfRule type="containsText" dxfId="2" priority="4" operator="containsText" text="Nominal">
      <formula>NOT(ISERROR(SEARCH("Nominal",C32)))</formula>
    </cfRule>
    <cfRule type="containsText" dxfId="1" priority="5" operator="containsText" text="Very High">
      <formula>NOT(ISERROR(SEARCH("Very High",C32)))</formula>
    </cfRule>
    <cfRule type="containsText" dxfId="0" priority="6" operator="containsText" text="High">
      <formula>NOT(ISERROR(SEARCH("High",C32)))</formula>
    </cfRule>
  </conditionalFormatting>
  <dataValidations count="2">
    <dataValidation type="list" allowBlank="1" showInputMessage="1" showErrorMessage="1" sqref="D5:D8" xr:uid="{C69B9CE1-A2C1-413A-B951-CBD84FB3BB13}">
      <formula1>"Very Low, Low, Nominal, High, Very High"</formula1>
    </dataValidation>
    <dataValidation type="list" allowBlank="1" showInputMessage="1" showErrorMessage="1" sqref="C5:C9 C12:C16 C19:C21 C24:C29 C32:C34" xr:uid="{58F2E30C-46F9-40D4-8C2F-690052103297}">
      <formula1>"Very Low, Low, Nominal, High, Very High, Extra High"</formula1>
    </dataValidation>
  </dataValidations>
  <hyperlinks>
    <hyperlink ref="E3" r:id="rId1" display="LINK" xr:uid="{12D927E2-71AC-4894-84A1-C37AB28D785D}"/>
    <hyperlink ref="B38" r:id="rId2" xr:uid="{9B80F27D-71C1-4C89-8EB9-E0C614C7E5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0130-4EF7-441B-887D-9BD13728E818}">
  <dimension ref="B2:I49"/>
  <sheetViews>
    <sheetView topLeftCell="A18" workbookViewId="0">
      <selection activeCell="F53" sqref="F53"/>
    </sheetView>
  </sheetViews>
  <sheetFormatPr defaultRowHeight="15"/>
  <cols>
    <col min="2" max="2" width="39.7109375" bestFit="1" customWidth="1"/>
    <col min="3" max="3" width="20.42578125" bestFit="1" customWidth="1"/>
    <col min="4" max="4" width="14.42578125" bestFit="1" customWidth="1"/>
    <col min="5" max="5" width="18.5703125" bestFit="1" customWidth="1"/>
    <col min="6" max="6" width="22.140625" bestFit="1" customWidth="1"/>
    <col min="7" max="7" width="18.7109375" bestFit="1" customWidth="1"/>
    <col min="8" max="8" width="14.28515625" bestFit="1" customWidth="1"/>
  </cols>
  <sheetData>
    <row r="2" spans="2:8">
      <c r="B2" s="1" t="s">
        <v>40</v>
      </c>
      <c r="C2" s="1" t="s">
        <v>30</v>
      </c>
      <c r="D2" s="1" t="s">
        <v>41</v>
      </c>
      <c r="E2" s="1" t="s">
        <v>42</v>
      </c>
    </row>
    <row r="3" spans="2:8">
      <c r="B3" s="28" t="s">
        <v>5</v>
      </c>
      <c r="C3" s="28"/>
      <c r="D3" s="28"/>
      <c r="E3" s="28"/>
    </row>
    <row r="4" spans="2:8" ht="30" customHeight="1">
      <c r="B4" s="3" t="s">
        <v>43</v>
      </c>
      <c r="C4" s="2" t="s">
        <v>44</v>
      </c>
      <c r="D4" s="6" t="s">
        <v>45</v>
      </c>
      <c r="E4" s="2" t="s">
        <v>46</v>
      </c>
    </row>
    <row r="5" spans="2:8" ht="30" customHeight="1">
      <c r="B5" s="3" t="s">
        <v>47</v>
      </c>
      <c r="C5" s="2" t="s">
        <v>48</v>
      </c>
      <c r="D5" s="6" t="s">
        <v>45</v>
      </c>
      <c r="E5" s="2" t="s">
        <v>49</v>
      </c>
    </row>
    <row r="6" spans="2:8" ht="30" customHeight="1">
      <c r="B6" s="3" t="s">
        <v>50</v>
      </c>
      <c r="C6" s="2" t="s">
        <v>49</v>
      </c>
      <c r="D6" s="2" t="s">
        <v>48</v>
      </c>
      <c r="E6" s="6" t="s">
        <v>51</v>
      </c>
    </row>
    <row r="7" spans="2:8" ht="30" customHeight="1">
      <c r="B7" s="3" t="s">
        <v>52</v>
      </c>
      <c r="C7" s="2" t="s">
        <v>45</v>
      </c>
      <c r="D7" s="2" t="s">
        <v>51</v>
      </c>
      <c r="E7" s="6" t="s">
        <v>53</v>
      </c>
    </row>
    <row r="8" spans="2:8">
      <c r="B8" s="29" t="s">
        <v>7</v>
      </c>
      <c r="C8" s="30"/>
      <c r="D8" s="30"/>
      <c r="E8" s="31"/>
    </row>
    <row r="9" spans="2:8" ht="30" customHeight="1">
      <c r="B9" s="3" t="s">
        <v>54</v>
      </c>
      <c r="C9" s="2" t="s">
        <v>55</v>
      </c>
      <c r="D9" s="6" t="s">
        <v>45</v>
      </c>
      <c r="E9" s="2" t="s">
        <v>56</v>
      </c>
    </row>
    <row r="10" spans="2:8" ht="30" customHeight="1">
      <c r="B10" s="3" t="s">
        <v>57</v>
      </c>
      <c r="C10" s="2" t="s">
        <v>55</v>
      </c>
      <c r="D10" s="6" t="s">
        <v>45</v>
      </c>
      <c r="E10" s="2" t="s">
        <v>56</v>
      </c>
    </row>
    <row r="11" spans="2:8" ht="30" customHeight="1">
      <c r="B11" s="3" t="s">
        <v>58</v>
      </c>
      <c r="C11" s="2" t="s">
        <v>6</v>
      </c>
      <c r="D11" s="2" t="s">
        <v>59</v>
      </c>
      <c r="E11" s="6" t="s">
        <v>16</v>
      </c>
    </row>
    <row r="13" spans="2:8">
      <c r="B13" s="32" t="s">
        <v>60</v>
      </c>
      <c r="C13" s="32"/>
      <c r="D13" s="32"/>
      <c r="E13" s="32"/>
      <c r="F13" s="32"/>
      <c r="G13" s="32"/>
      <c r="H13" s="32"/>
    </row>
    <row r="14" spans="2:8">
      <c r="B14" s="7" t="s">
        <v>61</v>
      </c>
      <c r="C14" s="1" t="s">
        <v>30</v>
      </c>
      <c r="D14" s="1" t="s">
        <v>16</v>
      </c>
      <c r="E14" s="1" t="s">
        <v>8</v>
      </c>
      <c r="F14" s="1" t="s">
        <v>6</v>
      </c>
      <c r="G14" s="1" t="s">
        <v>10</v>
      </c>
      <c r="H14" s="1" t="s">
        <v>42</v>
      </c>
    </row>
    <row r="15" spans="2:8" ht="60">
      <c r="B15" s="3" t="s">
        <v>62</v>
      </c>
      <c r="C15" s="2" t="s">
        <v>63</v>
      </c>
      <c r="D15" s="2" t="s">
        <v>64</v>
      </c>
      <c r="E15" s="2" t="s">
        <v>51</v>
      </c>
      <c r="F15" s="2" t="s">
        <v>65</v>
      </c>
      <c r="G15" s="2" t="s">
        <v>66</v>
      </c>
      <c r="H15" s="6" t="s">
        <v>67</v>
      </c>
    </row>
    <row r="16" spans="2:8" ht="60">
      <c r="B16" s="3" t="s">
        <v>68</v>
      </c>
      <c r="C16" s="2" t="s">
        <v>63</v>
      </c>
      <c r="D16" s="2" t="s">
        <v>64</v>
      </c>
      <c r="E16" s="2" t="s">
        <v>51</v>
      </c>
      <c r="F16" s="6" t="s">
        <v>65</v>
      </c>
      <c r="G16" s="2" t="s">
        <v>66</v>
      </c>
      <c r="H16" s="2" t="s">
        <v>67</v>
      </c>
    </row>
    <row r="17" spans="2:9" ht="60">
      <c r="B17" s="3" t="s">
        <v>69</v>
      </c>
      <c r="C17" s="2">
        <v>5</v>
      </c>
      <c r="D17" s="2">
        <v>10</v>
      </c>
      <c r="E17" s="2">
        <v>17</v>
      </c>
      <c r="F17" s="2">
        <v>25</v>
      </c>
      <c r="G17" s="6">
        <v>33</v>
      </c>
      <c r="H17" s="2">
        <v>40</v>
      </c>
    </row>
    <row r="18" spans="2:9" ht="30">
      <c r="B18" s="3" t="s">
        <v>70</v>
      </c>
      <c r="C18" s="2">
        <v>20</v>
      </c>
      <c r="D18" s="2">
        <v>40</v>
      </c>
      <c r="E18" s="6">
        <v>60</v>
      </c>
      <c r="F18" s="2">
        <v>80</v>
      </c>
      <c r="G18" s="2">
        <v>100</v>
      </c>
      <c r="H18" s="2">
        <v>120</v>
      </c>
    </row>
    <row r="19" spans="2:9" ht="45">
      <c r="B19" s="3" t="s">
        <v>71</v>
      </c>
      <c r="C19" s="2" t="s">
        <v>63</v>
      </c>
      <c r="D19" s="6" t="s">
        <v>64</v>
      </c>
      <c r="E19" s="2" t="s">
        <v>51</v>
      </c>
      <c r="F19" s="2" t="s">
        <v>72</v>
      </c>
      <c r="G19" s="2" t="s">
        <v>73</v>
      </c>
      <c r="H19" s="2" t="s">
        <v>55</v>
      </c>
    </row>
    <row r="20" spans="2:9" ht="60">
      <c r="B20" s="3" t="s">
        <v>74</v>
      </c>
      <c r="C20" s="2" t="s">
        <v>75</v>
      </c>
      <c r="D20" s="2" t="s">
        <v>76</v>
      </c>
      <c r="E20" s="2" t="s">
        <v>45</v>
      </c>
      <c r="F20" s="2" t="s">
        <v>51</v>
      </c>
      <c r="G20" s="6" t="s">
        <v>64</v>
      </c>
      <c r="H20" s="2" t="s">
        <v>77</v>
      </c>
    </row>
    <row r="21" spans="2:9">
      <c r="B21" s="2" t="s">
        <v>78</v>
      </c>
      <c r="C21" s="2" t="s">
        <v>79</v>
      </c>
      <c r="D21" s="2" t="s">
        <v>80</v>
      </c>
      <c r="E21" s="2" t="s">
        <v>81</v>
      </c>
      <c r="F21" s="2" t="s">
        <v>82</v>
      </c>
      <c r="G21" s="6" t="s">
        <v>83</v>
      </c>
      <c r="H21" s="2" t="s">
        <v>84</v>
      </c>
    </row>
    <row r="23" spans="2:9">
      <c r="B23" s="33" t="s">
        <v>85</v>
      </c>
      <c r="C23" s="33"/>
      <c r="D23" s="33"/>
      <c r="E23" s="33"/>
      <c r="F23" s="33"/>
      <c r="G23" s="33"/>
      <c r="H23" s="33"/>
    </row>
    <row r="24" spans="2:9">
      <c r="B24" s="7" t="s">
        <v>61</v>
      </c>
      <c r="C24" s="1" t="s">
        <v>30</v>
      </c>
      <c r="D24" s="1" t="s">
        <v>16</v>
      </c>
      <c r="E24" s="1" t="s">
        <v>8</v>
      </c>
      <c r="F24" s="1" t="s">
        <v>6</v>
      </c>
      <c r="G24" s="1" t="s">
        <v>10</v>
      </c>
      <c r="H24" s="1" t="s">
        <v>42</v>
      </c>
    </row>
    <row r="25" spans="2:9" ht="30">
      <c r="B25" s="3" t="s">
        <v>86</v>
      </c>
      <c r="C25" s="2" t="s">
        <v>64</v>
      </c>
      <c r="D25" s="2" t="s">
        <v>51</v>
      </c>
      <c r="E25" s="2" t="s">
        <v>56</v>
      </c>
      <c r="F25" s="2" t="s">
        <v>45</v>
      </c>
      <c r="G25" s="6" t="s">
        <v>73</v>
      </c>
      <c r="H25" s="2" t="s">
        <v>55</v>
      </c>
    </row>
    <row r="26" spans="2:9" ht="45">
      <c r="B26" s="3" t="s">
        <v>87</v>
      </c>
      <c r="C26" s="2" t="s">
        <v>64</v>
      </c>
      <c r="D26" s="2" t="s">
        <v>51</v>
      </c>
      <c r="E26" s="2" t="s">
        <v>56</v>
      </c>
      <c r="F26" s="6" t="s">
        <v>45</v>
      </c>
      <c r="G26" s="2" t="s">
        <v>73</v>
      </c>
      <c r="H26" s="2" t="s">
        <v>55</v>
      </c>
    </row>
    <row r="27" spans="2:9" ht="30">
      <c r="B27" s="3" t="s">
        <v>88</v>
      </c>
      <c r="C27" s="2" t="s">
        <v>63</v>
      </c>
      <c r="D27" s="2" t="s">
        <v>64</v>
      </c>
      <c r="E27" s="2" t="s">
        <v>64</v>
      </c>
      <c r="F27" s="2" t="s">
        <v>56</v>
      </c>
      <c r="G27" s="6" t="s">
        <v>45</v>
      </c>
      <c r="H27" s="2" t="s">
        <v>49</v>
      </c>
    </row>
    <row r="28" spans="2:9" ht="45">
      <c r="B28" s="3" t="s">
        <v>89</v>
      </c>
      <c r="C28" s="2" t="s">
        <v>63</v>
      </c>
      <c r="D28" s="2" t="s">
        <v>64</v>
      </c>
      <c r="E28" s="2" t="s">
        <v>64</v>
      </c>
      <c r="F28" s="2" t="s">
        <v>56</v>
      </c>
      <c r="G28" s="2" t="s">
        <v>45</v>
      </c>
      <c r="H28" s="6" t="s">
        <v>49</v>
      </c>
    </row>
    <row r="30" spans="2:9">
      <c r="B30" s="33" t="s">
        <v>12</v>
      </c>
      <c r="C30" s="33"/>
      <c r="D30" s="33"/>
      <c r="E30" s="33"/>
      <c r="F30" s="33"/>
      <c r="G30" s="33"/>
      <c r="H30" s="33"/>
    </row>
    <row r="31" spans="2:9">
      <c r="B31" s="4" t="s">
        <v>90</v>
      </c>
      <c r="C31" t="s">
        <v>91</v>
      </c>
      <c r="D31" t="s">
        <v>92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</row>
    <row r="32" spans="2:9">
      <c r="B32" s="9" t="s">
        <v>98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1</v>
      </c>
    </row>
    <row r="33" spans="2:9">
      <c r="B33" t="s">
        <v>99</v>
      </c>
      <c r="C33" s="8" t="b">
        <v>0</v>
      </c>
      <c r="D33" s="8" t="b">
        <v>1</v>
      </c>
      <c r="E33" s="8" t="b">
        <v>0</v>
      </c>
      <c r="F33" s="8" t="b">
        <v>0</v>
      </c>
      <c r="G33" s="8" t="b">
        <v>0</v>
      </c>
      <c r="H33" s="8" t="b">
        <v>0</v>
      </c>
      <c r="I33" s="8" t="b">
        <v>0</v>
      </c>
    </row>
    <row r="34" spans="2:9">
      <c r="B34" t="s">
        <v>100</v>
      </c>
      <c r="C34" s="8" t="b">
        <v>0</v>
      </c>
      <c r="D34" s="8" t="b">
        <v>0</v>
      </c>
      <c r="E34" s="8" t="b">
        <v>0</v>
      </c>
      <c r="F34" s="8" t="b">
        <v>0</v>
      </c>
      <c r="G34" s="8" t="b">
        <v>0</v>
      </c>
      <c r="H34" s="8" t="b">
        <v>0</v>
      </c>
      <c r="I34" s="8" t="b">
        <v>1</v>
      </c>
    </row>
    <row r="35" spans="2:9">
      <c r="B35" t="s">
        <v>101</v>
      </c>
      <c r="C35" s="8" t="b">
        <v>0</v>
      </c>
      <c r="D35" s="8" t="b">
        <v>0</v>
      </c>
      <c r="E35" s="8" t="b">
        <v>0</v>
      </c>
      <c r="F35" s="8" t="b">
        <v>0</v>
      </c>
      <c r="G35" s="8" t="b">
        <v>0</v>
      </c>
      <c r="H35" s="8" t="b">
        <v>0</v>
      </c>
      <c r="I35" s="8" t="b">
        <v>1</v>
      </c>
    </row>
    <row r="36" spans="2:9">
      <c r="B36" t="s">
        <v>102</v>
      </c>
      <c r="C36" s="8" t="b">
        <v>0</v>
      </c>
      <c r="D36" s="8" t="b">
        <v>1</v>
      </c>
      <c r="E36" s="8" t="b">
        <v>0</v>
      </c>
      <c r="F36" s="8" t="b">
        <v>0</v>
      </c>
      <c r="G36" s="8" t="b">
        <v>0</v>
      </c>
      <c r="H36" s="8" t="b">
        <v>0</v>
      </c>
      <c r="I36" s="8" t="b">
        <v>0</v>
      </c>
    </row>
    <row r="37" spans="2:9">
      <c r="B37" t="s">
        <v>103</v>
      </c>
      <c r="C37" s="8" t="b">
        <v>0</v>
      </c>
      <c r="D37" s="8" t="b">
        <v>0</v>
      </c>
      <c r="E37" s="8" t="b">
        <v>0</v>
      </c>
      <c r="F37" s="8" t="b">
        <v>0</v>
      </c>
      <c r="G37" s="8" t="b">
        <v>0</v>
      </c>
      <c r="H37" s="8" t="b">
        <v>0</v>
      </c>
      <c r="I37" s="8" t="b">
        <v>1</v>
      </c>
    </row>
    <row r="38" spans="2:9">
      <c r="B38" s="9" t="s">
        <v>104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1</v>
      </c>
    </row>
    <row r="39" spans="2:9">
      <c r="B39" t="s">
        <v>105</v>
      </c>
      <c r="C39" s="8" t="b">
        <v>0</v>
      </c>
      <c r="D39" s="8" t="b">
        <v>0</v>
      </c>
      <c r="E39" s="8" t="b">
        <v>0</v>
      </c>
      <c r="F39" s="8" t="b">
        <v>0</v>
      </c>
      <c r="G39" s="8" t="b">
        <v>0</v>
      </c>
      <c r="H39" s="8" t="b">
        <v>0</v>
      </c>
      <c r="I39" s="8" t="b">
        <v>1</v>
      </c>
    </row>
    <row r="40" spans="2:9">
      <c r="B40" t="s">
        <v>106</v>
      </c>
      <c r="C40" s="8" t="b">
        <v>0</v>
      </c>
      <c r="D40" s="8" t="b">
        <v>0</v>
      </c>
      <c r="E40" s="8" t="b">
        <v>0</v>
      </c>
      <c r="F40" s="8" t="b">
        <v>0</v>
      </c>
      <c r="G40" s="8" t="b">
        <v>0</v>
      </c>
      <c r="H40" s="8" t="b">
        <v>1</v>
      </c>
      <c r="I40" s="8" t="b">
        <v>0</v>
      </c>
    </row>
    <row r="41" spans="2:9">
      <c r="B41" t="s">
        <v>107</v>
      </c>
      <c r="C41" s="8" t="b">
        <v>0</v>
      </c>
      <c r="D41" s="8" t="b">
        <v>0</v>
      </c>
      <c r="E41" s="8" t="b">
        <v>0</v>
      </c>
      <c r="F41" s="8" t="b">
        <v>0</v>
      </c>
      <c r="G41" s="8" t="b">
        <v>0</v>
      </c>
      <c r="H41" s="8" t="b">
        <v>0</v>
      </c>
      <c r="I41" s="8" t="b">
        <v>1</v>
      </c>
    </row>
    <row r="42" spans="2:9">
      <c r="B42" t="s">
        <v>108</v>
      </c>
      <c r="C42" s="8" t="b">
        <v>0</v>
      </c>
      <c r="D42" s="8" t="b">
        <v>0</v>
      </c>
      <c r="E42" s="8" t="b">
        <v>0</v>
      </c>
      <c r="F42" s="8" t="b">
        <v>0</v>
      </c>
      <c r="G42" s="8" t="b">
        <v>0</v>
      </c>
      <c r="H42" s="8" t="b">
        <v>0</v>
      </c>
      <c r="I42" s="8" t="b">
        <v>1</v>
      </c>
    </row>
    <row r="43" spans="2:9">
      <c r="B43" t="s">
        <v>109</v>
      </c>
      <c r="C43" s="8" t="b">
        <v>1</v>
      </c>
      <c r="D43" s="8" t="b">
        <v>0</v>
      </c>
      <c r="E43" s="8" t="b">
        <v>0</v>
      </c>
      <c r="F43" s="8" t="b">
        <v>0</v>
      </c>
      <c r="G43" s="8" t="b">
        <v>0</v>
      </c>
      <c r="H43" s="8" t="b">
        <v>0</v>
      </c>
      <c r="I43" s="8" t="b">
        <v>0</v>
      </c>
    </row>
    <row r="44" spans="2:9">
      <c r="B44" t="s">
        <v>110</v>
      </c>
      <c r="C44" s="8" t="b">
        <v>0</v>
      </c>
      <c r="D44" s="8" t="b">
        <v>1</v>
      </c>
      <c r="E44" s="8" t="b">
        <v>0</v>
      </c>
      <c r="F44" s="8" t="b">
        <v>0</v>
      </c>
      <c r="G44" s="8" t="b">
        <v>0</v>
      </c>
      <c r="H44" s="8" t="b">
        <v>0</v>
      </c>
      <c r="I44" s="8" t="b">
        <v>0</v>
      </c>
    </row>
    <row r="45" spans="2:9">
      <c r="B45" s="9" t="s">
        <v>111</v>
      </c>
      <c r="C45" s="10" t="b">
        <v>0</v>
      </c>
      <c r="D45" s="10" t="b">
        <v>0</v>
      </c>
      <c r="E45" s="10" t="b">
        <v>0</v>
      </c>
      <c r="F45" s="10" t="b">
        <v>0</v>
      </c>
      <c r="G45" s="10" t="b">
        <v>0</v>
      </c>
      <c r="H45" s="10" t="b">
        <v>0</v>
      </c>
      <c r="I45" s="10" t="b">
        <v>1</v>
      </c>
    </row>
    <row r="46" spans="2:9">
      <c r="B46" t="s">
        <v>112</v>
      </c>
      <c r="C46" s="8" t="b">
        <v>0</v>
      </c>
      <c r="D46" s="8" t="b">
        <v>0</v>
      </c>
      <c r="E46" s="8" t="b">
        <v>0</v>
      </c>
      <c r="F46" s="8" t="b">
        <v>0</v>
      </c>
      <c r="G46" s="8" t="b">
        <v>0</v>
      </c>
      <c r="H46" s="8" t="b">
        <v>0</v>
      </c>
      <c r="I46" s="8" t="b">
        <v>1</v>
      </c>
    </row>
    <row r="47" spans="2:9">
      <c r="B47" s="9" t="s">
        <v>113</v>
      </c>
      <c r="C47" s="10" t="b">
        <v>0</v>
      </c>
      <c r="D47" s="10" t="b">
        <v>0</v>
      </c>
      <c r="E47" s="10" t="b">
        <v>0</v>
      </c>
      <c r="F47" s="10" t="b">
        <v>0</v>
      </c>
      <c r="G47" s="10" t="b">
        <v>0</v>
      </c>
      <c r="H47" s="10" t="b">
        <v>0</v>
      </c>
      <c r="I47" s="10" t="b">
        <v>1</v>
      </c>
    </row>
    <row r="48" spans="2:9">
      <c r="B48" t="s">
        <v>114</v>
      </c>
      <c r="C48" s="8" t="b">
        <v>0</v>
      </c>
      <c r="D48" s="8" t="b">
        <v>0</v>
      </c>
      <c r="E48" s="8" t="b">
        <v>0</v>
      </c>
      <c r="F48" s="8" t="b">
        <v>0</v>
      </c>
      <c r="G48" s="8" t="b">
        <v>0</v>
      </c>
      <c r="H48" s="8" t="b">
        <v>0</v>
      </c>
      <c r="I48" s="8" t="b">
        <v>1</v>
      </c>
    </row>
    <row r="49" spans="2:9">
      <c r="B49" t="s">
        <v>115</v>
      </c>
      <c r="C49" s="8" t="b">
        <v>0</v>
      </c>
      <c r="D49" s="8" t="b">
        <v>0</v>
      </c>
      <c r="E49" s="8" t="b">
        <v>0</v>
      </c>
      <c r="F49" s="8" t="b">
        <v>0</v>
      </c>
      <c r="G49" s="8" t="b">
        <v>0</v>
      </c>
      <c r="H49" s="8" t="b">
        <v>0</v>
      </c>
      <c r="I49" s="8" t="b">
        <v>1</v>
      </c>
    </row>
  </sheetData>
  <mergeCells count="5">
    <mergeCell ref="B3:E3"/>
    <mergeCell ref="B8:E8"/>
    <mergeCell ref="B13:H13"/>
    <mergeCell ref="B23:H23"/>
    <mergeCell ref="B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562B-B254-42A1-8E73-193CFBE0DE04}">
  <dimension ref="B2:J30"/>
  <sheetViews>
    <sheetView topLeftCell="C1" workbookViewId="0">
      <selection activeCell="B2" sqref="B2:H5"/>
    </sheetView>
  </sheetViews>
  <sheetFormatPr defaultRowHeight="15"/>
  <cols>
    <col min="3" max="3" width="30" bestFit="1" customWidth="1"/>
    <col min="4" max="4" width="30.140625" bestFit="1" customWidth="1"/>
    <col min="5" max="5" width="33.140625" bestFit="1" customWidth="1"/>
    <col min="6" max="6" width="30.140625" bestFit="1" customWidth="1"/>
    <col min="7" max="7" width="31" bestFit="1" customWidth="1"/>
    <col min="8" max="8" width="10.140625" bestFit="1" customWidth="1"/>
  </cols>
  <sheetData>
    <row r="2" spans="2:8">
      <c r="B2" s="5" t="s">
        <v>15</v>
      </c>
    </row>
    <row r="4" spans="2:8">
      <c r="B4" s="2"/>
      <c r="C4" s="1" t="s">
        <v>30</v>
      </c>
      <c r="D4" s="1" t="s">
        <v>16</v>
      </c>
      <c r="E4" s="1" t="s">
        <v>8</v>
      </c>
      <c r="F4" s="1" t="s">
        <v>6</v>
      </c>
      <c r="G4" s="1" t="s">
        <v>10</v>
      </c>
      <c r="H4" s="1" t="s">
        <v>42</v>
      </c>
    </row>
    <row r="5" spans="2:8">
      <c r="B5" s="2" t="s">
        <v>116</v>
      </c>
      <c r="C5" s="2" t="s">
        <v>117</v>
      </c>
      <c r="D5" s="6" t="s">
        <v>118</v>
      </c>
      <c r="E5" s="2" t="s">
        <v>119</v>
      </c>
      <c r="F5" s="2" t="s">
        <v>120</v>
      </c>
      <c r="G5" s="2" t="s">
        <v>121</v>
      </c>
      <c r="H5" s="2"/>
    </row>
    <row r="7" spans="2:8">
      <c r="B7" s="5" t="s">
        <v>17</v>
      </c>
    </row>
    <row r="9" spans="2:8">
      <c r="B9" s="2"/>
      <c r="C9" s="1" t="s">
        <v>30</v>
      </c>
      <c r="D9" s="1" t="s">
        <v>16</v>
      </c>
      <c r="E9" s="1" t="s">
        <v>8</v>
      </c>
      <c r="F9" s="1" t="s">
        <v>6</v>
      </c>
      <c r="G9" s="1" t="s">
        <v>10</v>
      </c>
      <c r="H9" s="1" t="s">
        <v>42</v>
      </c>
    </row>
    <row r="10" spans="2:8">
      <c r="B10" s="2" t="s">
        <v>122</v>
      </c>
      <c r="C10" s="2"/>
      <c r="D10" s="2" t="s">
        <v>123</v>
      </c>
      <c r="E10" s="16" t="s">
        <v>124</v>
      </c>
      <c r="F10" s="2" t="s">
        <v>125</v>
      </c>
      <c r="G10" s="2" t="s">
        <v>126</v>
      </c>
      <c r="H10" s="2"/>
    </row>
    <row r="12" spans="2:8">
      <c r="B12" s="5" t="s">
        <v>18</v>
      </c>
    </row>
    <row r="14" spans="2:8">
      <c r="B14" s="2"/>
      <c r="C14" s="1" t="s">
        <v>127</v>
      </c>
      <c r="D14" s="1" t="s">
        <v>128</v>
      </c>
      <c r="E14" s="1" t="s">
        <v>129</v>
      </c>
      <c r="F14" s="1" t="s">
        <v>130</v>
      </c>
      <c r="G14" s="37" t="s">
        <v>131</v>
      </c>
      <c r="H14" s="37"/>
    </row>
    <row r="15" spans="2:8" ht="150">
      <c r="B15" s="12" t="s">
        <v>30</v>
      </c>
      <c r="C15" s="11" t="s">
        <v>132</v>
      </c>
      <c r="D15" s="11" t="s">
        <v>133</v>
      </c>
      <c r="E15" s="11" t="s">
        <v>134</v>
      </c>
      <c r="F15" s="11" t="s">
        <v>135</v>
      </c>
      <c r="G15" s="34" t="s">
        <v>136</v>
      </c>
      <c r="H15" s="34"/>
    </row>
    <row r="16" spans="2:8" ht="90">
      <c r="B16" s="12" t="s">
        <v>16</v>
      </c>
      <c r="C16" s="17" t="s">
        <v>137</v>
      </c>
      <c r="D16" s="11" t="s">
        <v>138</v>
      </c>
      <c r="E16" s="11" t="s">
        <v>139</v>
      </c>
      <c r="F16" s="11" t="s">
        <v>140</v>
      </c>
      <c r="G16" s="35" t="s">
        <v>141</v>
      </c>
      <c r="H16" s="35"/>
    </row>
    <row r="17" spans="2:10" ht="105">
      <c r="B17" s="12" t="s">
        <v>8</v>
      </c>
      <c r="C17" s="11" t="s">
        <v>142</v>
      </c>
      <c r="D17" s="17" t="s">
        <v>143</v>
      </c>
      <c r="E17" s="17" t="s">
        <v>144</v>
      </c>
      <c r="F17" s="17" t="s">
        <v>145</v>
      </c>
      <c r="G17" s="36" t="s">
        <v>146</v>
      </c>
      <c r="H17" s="36"/>
    </row>
    <row r="18" spans="2:10" ht="180">
      <c r="B18" s="12" t="s">
        <v>6</v>
      </c>
      <c r="C18" s="11" t="s">
        <v>147</v>
      </c>
      <c r="D18" s="11" t="s">
        <v>148</v>
      </c>
      <c r="E18" s="11" t="s">
        <v>149</v>
      </c>
      <c r="F18" s="11" t="s">
        <v>150</v>
      </c>
      <c r="G18" s="34" t="s">
        <v>151</v>
      </c>
      <c r="H18" s="34"/>
    </row>
    <row r="19" spans="2:10" ht="180">
      <c r="B19" s="12" t="s">
        <v>10</v>
      </c>
      <c r="C19" s="11" t="s">
        <v>152</v>
      </c>
      <c r="D19" s="11" t="s">
        <v>153</v>
      </c>
      <c r="E19" s="11" t="s">
        <v>154</v>
      </c>
      <c r="F19" s="11" t="s">
        <v>155</v>
      </c>
      <c r="G19" s="34" t="s">
        <v>156</v>
      </c>
      <c r="H19" s="34"/>
    </row>
    <row r="20" spans="2:10" ht="120">
      <c r="B20" s="12" t="s">
        <v>42</v>
      </c>
      <c r="C20" s="11" t="s">
        <v>157</v>
      </c>
      <c r="D20" s="11" t="s">
        <v>158</v>
      </c>
      <c r="E20" s="11" t="s">
        <v>159</v>
      </c>
      <c r="F20" s="11" t="s">
        <v>160</v>
      </c>
      <c r="G20" s="34" t="s">
        <v>161</v>
      </c>
      <c r="H20" s="34"/>
    </row>
    <row r="22" spans="2:10">
      <c r="B22" s="13" t="s">
        <v>162</v>
      </c>
    </row>
    <row r="24" spans="2:10">
      <c r="B24" s="2"/>
      <c r="C24" s="1" t="s">
        <v>30</v>
      </c>
      <c r="D24" s="1" t="s">
        <v>16</v>
      </c>
      <c r="E24" s="1" t="s">
        <v>8</v>
      </c>
      <c r="F24" s="1" t="s">
        <v>6</v>
      </c>
      <c r="G24" s="1" t="s">
        <v>10</v>
      </c>
      <c r="H24" s="37" t="s">
        <v>42</v>
      </c>
      <c r="I24" s="37"/>
      <c r="J24" s="37"/>
    </row>
    <row r="25" spans="2:10">
      <c r="B25" s="2" t="s">
        <v>163</v>
      </c>
      <c r="C25" s="2"/>
      <c r="D25" s="2" t="s">
        <v>164</v>
      </c>
      <c r="E25" s="6" t="s">
        <v>165</v>
      </c>
      <c r="F25" s="2" t="s">
        <v>166</v>
      </c>
      <c r="G25" s="2" t="s">
        <v>167</v>
      </c>
      <c r="H25" s="38" t="s">
        <v>168</v>
      </c>
      <c r="I25" s="38"/>
      <c r="J25" s="38"/>
    </row>
    <row r="27" spans="2:10">
      <c r="B27" s="5" t="s">
        <v>169</v>
      </c>
    </row>
    <row r="29" spans="2:10">
      <c r="B29" s="2"/>
      <c r="C29" s="1" t="s">
        <v>30</v>
      </c>
      <c r="D29" s="1" t="s">
        <v>16</v>
      </c>
      <c r="E29" s="1" t="s">
        <v>8</v>
      </c>
      <c r="F29" s="1" t="s">
        <v>6</v>
      </c>
      <c r="G29" s="1" t="s">
        <v>10</v>
      </c>
      <c r="H29" s="14" t="s">
        <v>42</v>
      </c>
      <c r="J29" s="5"/>
    </row>
    <row r="30" spans="2:10">
      <c r="B30" s="2" t="s">
        <v>170</v>
      </c>
      <c r="C30" s="2" t="s">
        <v>171</v>
      </c>
      <c r="D30" s="2" t="s">
        <v>172</v>
      </c>
      <c r="E30" s="6" t="s">
        <v>173</v>
      </c>
      <c r="F30" s="2" t="s">
        <v>174</v>
      </c>
      <c r="G30" s="2" t="s">
        <v>175</v>
      </c>
      <c r="H30" s="15"/>
    </row>
  </sheetData>
  <mergeCells count="9">
    <mergeCell ref="H24:J24"/>
    <mergeCell ref="H25:J25"/>
    <mergeCell ref="G14:H14"/>
    <mergeCell ref="G15:H15"/>
    <mergeCell ref="G16:H16"/>
    <mergeCell ref="G17:H17"/>
    <mergeCell ref="G18:H18"/>
    <mergeCell ref="G19:H19"/>
    <mergeCell ref="G20:H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3B60-873B-45CC-BCEB-63563A6102B0}">
  <dimension ref="B2:H15"/>
  <sheetViews>
    <sheetView workbookViewId="0">
      <selection activeCell="E47" sqref="E47"/>
    </sheetView>
  </sheetViews>
  <sheetFormatPr defaultRowHeight="15"/>
  <cols>
    <col min="4" max="4" width="29.28515625" customWidth="1"/>
    <col min="5" max="5" width="47.140625" bestFit="1" customWidth="1"/>
    <col min="6" max="6" width="15.5703125" customWidth="1"/>
    <col min="7" max="7" width="14.5703125" customWidth="1"/>
    <col min="8" max="8" width="10.140625" bestFit="1" customWidth="1"/>
  </cols>
  <sheetData>
    <row r="2" spans="2:8">
      <c r="B2" s="5" t="s">
        <v>176</v>
      </c>
    </row>
    <row r="4" spans="2:8">
      <c r="B4" s="2"/>
      <c r="C4" s="1" t="s">
        <v>30</v>
      </c>
      <c r="D4" s="1" t="s">
        <v>16</v>
      </c>
      <c r="E4" s="1" t="s">
        <v>8</v>
      </c>
      <c r="F4" s="1" t="s">
        <v>6</v>
      </c>
      <c r="G4" s="1" t="s">
        <v>10</v>
      </c>
      <c r="H4" s="1" t="s">
        <v>42</v>
      </c>
    </row>
    <row r="5" spans="2:8">
      <c r="B5" s="12" t="s">
        <v>177</v>
      </c>
      <c r="C5" s="2"/>
      <c r="D5" s="2"/>
      <c r="E5" s="6" t="s">
        <v>178</v>
      </c>
      <c r="F5" s="18">
        <v>0.7</v>
      </c>
      <c r="G5" s="18">
        <v>0.85</v>
      </c>
      <c r="H5" s="18">
        <v>0.95</v>
      </c>
    </row>
    <row r="7" spans="2:8">
      <c r="B7" s="5" t="s">
        <v>179</v>
      </c>
    </row>
    <row r="9" spans="2:8">
      <c r="B9" s="2"/>
      <c r="C9" s="1" t="s">
        <v>30</v>
      </c>
      <c r="D9" s="1" t="s">
        <v>16</v>
      </c>
      <c r="E9" s="1" t="s">
        <v>8</v>
      </c>
      <c r="F9" s="1" t="s">
        <v>6</v>
      </c>
      <c r="G9" s="1" t="s">
        <v>10</v>
      </c>
      <c r="H9" s="1" t="s">
        <v>42</v>
      </c>
    </row>
    <row r="10" spans="2:8">
      <c r="B10" s="12" t="s">
        <v>180</v>
      </c>
      <c r="C10" s="2"/>
      <c r="D10" s="2"/>
      <c r="E10" s="6" t="s">
        <v>181</v>
      </c>
      <c r="F10" s="18">
        <v>0.7</v>
      </c>
      <c r="G10" s="18">
        <v>0.85</v>
      </c>
      <c r="H10" s="18">
        <v>0.95</v>
      </c>
    </row>
    <row r="12" spans="2:8">
      <c r="B12" s="5" t="s">
        <v>24</v>
      </c>
    </row>
    <row r="14" spans="2:8">
      <c r="B14" s="2"/>
      <c r="C14" s="1" t="s">
        <v>30</v>
      </c>
      <c r="D14" s="1" t="s">
        <v>16</v>
      </c>
      <c r="E14" s="1" t="s">
        <v>8</v>
      </c>
      <c r="F14" s="1" t="s">
        <v>6</v>
      </c>
      <c r="G14" s="1" t="s">
        <v>10</v>
      </c>
      <c r="H14" s="1" t="s">
        <v>42</v>
      </c>
    </row>
    <row r="15" spans="2:8" ht="30">
      <c r="B15" s="12" t="s">
        <v>182</v>
      </c>
      <c r="C15" s="2"/>
      <c r="D15" s="17" t="s">
        <v>183</v>
      </c>
      <c r="E15" s="11" t="s">
        <v>184</v>
      </c>
      <c r="F15" s="19" t="s">
        <v>185</v>
      </c>
      <c r="G15" s="19" t="s">
        <v>186</v>
      </c>
      <c r="H1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5B99-2655-4A41-BADB-7496DC3C40EA}">
  <dimension ref="B2:H31"/>
  <sheetViews>
    <sheetView workbookViewId="0">
      <selection activeCell="J44" sqref="J44"/>
    </sheetView>
  </sheetViews>
  <sheetFormatPr defaultRowHeight="15"/>
  <cols>
    <col min="3" max="7" width="14" bestFit="1" customWidth="1"/>
    <col min="8" max="8" width="10.140625" bestFit="1" customWidth="1"/>
  </cols>
  <sheetData>
    <row r="2" spans="2:8">
      <c r="B2" s="5" t="s">
        <v>26</v>
      </c>
    </row>
    <row r="4" spans="2:8">
      <c r="B4" s="2"/>
      <c r="C4" s="1" t="s">
        <v>30</v>
      </c>
      <c r="D4" s="1" t="s">
        <v>16</v>
      </c>
      <c r="E4" s="1" t="s">
        <v>8</v>
      </c>
      <c r="F4" s="1" t="s">
        <v>6</v>
      </c>
      <c r="G4" s="1" t="s">
        <v>10</v>
      </c>
      <c r="H4" s="1" t="s">
        <v>42</v>
      </c>
    </row>
    <row r="5" spans="2:8">
      <c r="B5" s="12" t="s">
        <v>187</v>
      </c>
      <c r="C5" s="2" t="s">
        <v>188</v>
      </c>
      <c r="D5" s="2" t="s">
        <v>189</v>
      </c>
      <c r="E5" s="2" t="s">
        <v>190</v>
      </c>
      <c r="F5" s="21" t="s">
        <v>191</v>
      </c>
      <c r="G5" s="18" t="s">
        <v>192</v>
      </c>
      <c r="H5" s="18"/>
    </row>
    <row r="7" spans="2:8">
      <c r="B7" s="5" t="s">
        <v>193</v>
      </c>
    </row>
    <row r="9" spans="2:8">
      <c r="B9" s="2"/>
      <c r="C9" s="1" t="s">
        <v>30</v>
      </c>
      <c r="D9" s="1" t="s">
        <v>16</v>
      </c>
      <c r="E9" s="1" t="s">
        <v>8</v>
      </c>
      <c r="F9" s="1" t="s">
        <v>6</v>
      </c>
      <c r="G9" s="1" t="s">
        <v>10</v>
      </c>
      <c r="H9" s="1" t="s">
        <v>42</v>
      </c>
    </row>
    <row r="10" spans="2:8">
      <c r="B10" s="12" t="s">
        <v>194</v>
      </c>
      <c r="C10" s="2" t="s">
        <v>188</v>
      </c>
      <c r="D10" s="2" t="s">
        <v>189</v>
      </c>
      <c r="E10" s="2" t="s">
        <v>190</v>
      </c>
      <c r="F10" s="21" t="s">
        <v>191</v>
      </c>
      <c r="G10" s="18" t="s">
        <v>192</v>
      </c>
      <c r="H10" s="18"/>
    </row>
    <row r="12" spans="2:8">
      <c r="B12" s="5" t="s">
        <v>195</v>
      </c>
    </row>
    <row r="14" spans="2:8">
      <c r="B14" s="2"/>
      <c r="C14" s="1" t="s">
        <v>30</v>
      </c>
      <c r="D14" s="1" t="s">
        <v>16</v>
      </c>
      <c r="E14" s="1" t="s">
        <v>8</v>
      </c>
      <c r="F14" s="1" t="s">
        <v>6</v>
      </c>
      <c r="G14" s="1" t="s">
        <v>10</v>
      </c>
      <c r="H14" s="1" t="s">
        <v>42</v>
      </c>
    </row>
    <row r="15" spans="2:8">
      <c r="B15" s="12" t="s">
        <v>196</v>
      </c>
      <c r="C15" s="6" t="s">
        <v>197</v>
      </c>
      <c r="D15" s="2" t="s">
        <v>198</v>
      </c>
      <c r="E15" s="2" t="s">
        <v>199</v>
      </c>
      <c r="F15" s="18" t="s">
        <v>200</v>
      </c>
      <c r="G15" s="18" t="s">
        <v>201</v>
      </c>
      <c r="H15" s="18"/>
    </row>
    <row r="18" spans="2:8">
      <c r="B18" s="5" t="s">
        <v>202</v>
      </c>
    </row>
    <row r="20" spans="2:8">
      <c r="B20" s="2"/>
      <c r="C20" s="1" t="s">
        <v>30</v>
      </c>
      <c r="D20" s="1" t="s">
        <v>16</v>
      </c>
      <c r="E20" s="1" t="s">
        <v>8</v>
      </c>
      <c r="F20" s="1" t="s">
        <v>6</v>
      </c>
      <c r="G20" s="1" t="s">
        <v>10</v>
      </c>
      <c r="H20" s="1" t="s">
        <v>42</v>
      </c>
    </row>
    <row r="21" spans="2:8">
      <c r="B21" s="12" t="s">
        <v>203</v>
      </c>
      <c r="C21" s="2" t="s">
        <v>197</v>
      </c>
      <c r="D21" s="2" t="s">
        <v>198</v>
      </c>
      <c r="E21" s="6" t="s">
        <v>199</v>
      </c>
      <c r="F21" s="18" t="s">
        <v>200</v>
      </c>
      <c r="G21" s="18" t="s">
        <v>201</v>
      </c>
      <c r="H21" s="18"/>
    </row>
    <row r="23" spans="2:8">
      <c r="B23" s="5" t="s">
        <v>204</v>
      </c>
    </row>
    <row r="25" spans="2:8">
      <c r="B25" s="2"/>
      <c r="C25" s="1" t="s">
        <v>30</v>
      </c>
      <c r="D25" s="1" t="s">
        <v>16</v>
      </c>
      <c r="E25" s="1" t="s">
        <v>8</v>
      </c>
      <c r="F25" s="1" t="s">
        <v>6</v>
      </c>
      <c r="G25" s="1" t="s">
        <v>10</v>
      </c>
      <c r="H25" s="1" t="s">
        <v>42</v>
      </c>
    </row>
    <row r="26" spans="2:8">
      <c r="B26" s="12" t="s">
        <v>205</v>
      </c>
      <c r="C26" s="2" t="s">
        <v>197</v>
      </c>
      <c r="D26" s="2" t="s">
        <v>198</v>
      </c>
      <c r="E26" s="2" t="s">
        <v>199</v>
      </c>
      <c r="F26" s="21" t="s">
        <v>200</v>
      </c>
      <c r="G26" s="18" t="s">
        <v>201</v>
      </c>
      <c r="H26" s="18"/>
    </row>
    <row r="28" spans="2:8">
      <c r="B28" s="5" t="s">
        <v>206</v>
      </c>
    </row>
    <row r="30" spans="2:8">
      <c r="B30" s="2"/>
      <c r="C30" s="1" t="s">
        <v>30</v>
      </c>
      <c r="D30" s="1" t="s">
        <v>16</v>
      </c>
      <c r="E30" s="1" t="s">
        <v>8</v>
      </c>
      <c r="F30" s="1" t="s">
        <v>6</v>
      </c>
      <c r="G30" s="1" t="s">
        <v>10</v>
      </c>
      <c r="H30" s="1" t="s">
        <v>42</v>
      </c>
    </row>
    <row r="31" spans="2:8">
      <c r="B31" s="12" t="s">
        <v>207</v>
      </c>
      <c r="C31" s="2" t="s">
        <v>208</v>
      </c>
      <c r="D31" s="2" t="s">
        <v>209</v>
      </c>
      <c r="E31" s="2" t="s">
        <v>210</v>
      </c>
      <c r="F31" s="2" t="s">
        <v>211</v>
      </c>
      <c r="G31" s="6" t="s">
        <v>212</v>
      </c>
      <c r="H31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C2CA-2500-4DFA-955F-05B2C75A8EB6}">
  <dimension ref="B2:H15"/>
  <sheetViews>
    <sheetView workbookViewId="0">
      <selection activeCell="G19" sqref="G19"/>
    </sheetView>
  </sheetViews>
  <sheetFormatPr defaultRowHeight="15"/>
  <cols>
    <col min="3" max="5" width="20.7109375" customWidth="1"/>
    <col min="6" max="6" width="27.7109375" customWidth="1"/>
    <col min="7" max="7" width="36.7109375" customWidth="1"/>
    <col min="8" max="8" width="20.7109375" customWidth="1"/>
  </cols>
  <sheetData>
    <row r="2" spans="2:8">
      <c r="B2" s="5" t="s">
        <v>213</v>
      </c>
    </row>
    <row r="4" spans="2:8">
      <c r="B4" s="2"/>
      <c r="C4" s="1" t="s">
        <v>30</v>
      </c>
      <c r="D4" s="1" t="s">
        <v>16</v>
      </c>
      <c r="E4" s="1" t="s">
        <v>8</v>
      </c>
      <c r="F4" s="1" t="s">
        <v>6</v>
      </c>
      <c r="G4" s="1" t="s">
        <v>10</v>
      </c>
      <c r="H4" s="1" t="s">
        <v>42</v>
      </c>
    </row>
    <row r="5" spans="2:8" ht="60">
      <c r="B5" s="12" t="s">
        <v>214</v>
      </c>
      <c r="C5" s="12" t="s">
        <v>215</v>
      </c>
      <c r="D5" s="11" t="s">
        <v>216</v>
      </c>
      <c r="E5" s="11" t="s">
        <v>217</v>
      </c>
      <c r="F5" s="19" t="s">
        <v>218</v>
      </c>
      <c r="G5" s="23" t="s">
        <v>219</v>
      </c>
      <c r="H5" s="22"/>
    </row>
    <row r="7" spans="2:8">
      <c r="B7" s="5" t="s">
        <v>220</v>
      </c>
    </row>
    <row r="9" spans="2:8">
      <c r="B9" s="2"/>
      <c r="C9" s="1" t="s">
        <v>30</v>
      </c>
      <c r="D9" s="1" t="s">
        <v>16</v>
      </c>
      <c r="E9" s="1" t="s">
        <v>8</v>
      </c>
      <c r="F9" s="1" t="s">
        <v>6</v>
      </c>
      <c r="G9" s="1" t="s">
        <v>10</v>
      </c>
      <c r="H9" s="1" t="s">
        <v>42</v>
      </c>
    </row>
    <row r="10" spans="2:8" ht="30">
      <c r="B10" s="12" t="s">
        <v>221</v>
      </c>
      <c r="C10" s="12" t="s">
        <v>222</v>
      </c>
      <c r="D10" s="11" t="s">
        <v>223</v>
      </c>
      <c r="E10" s="11" t="s">
        <v>224</v>
      </c>
      <c r="F10" s="23" t="s">
        <v>225</v>
      </c>
      <c r="G10" s="19" t="s">
        <v>226</v>
      </c>
      <c r="H10" s="22" t="s">
        <v>227</v>
      </c>
    </row>
    <row r="12" spans="2:8">
      <c r="B12" s="5" t="s">
        <v>228</v>
      </c>
    </row>
    <row r="14" spans="2:8">
      <c r="B14" s="2"/>
      <c r="C14" s="1" t="s">
        <v>30</v>
      </c>
      <c r="D14" s="1" t="s">
        <v>16</v>
      </c>
      <c r="E14" s="1" t="s">
        <v>8</v>
      </c>
      <c r="F14" s="1" t="s">
        <v>6</v>
      </c>
      <c r="G14" s="1" t="s">
        <v>10</v>
      </c>
      <c r="H14" s="1" t="s">
        <v>42</v>
      </c>
    </row>
    <row r="15" spans="2:8">
      <c r="B15" s="12" t="s">
        <v>229</v>
      </c>
      <c r="C15" s="12" t="s">
        <v>230</v>
      </c>
      <c r="D15" s="19">
        <v>0.85</v>
      </c>
      <c r="E15" s="23">
        <v>1</v>
      </c>
      <c r="F15" s="19">
        <v>1.3</v>
      </c>
      <c r="G15" s="19">
        <v>1.6</v>
      </c>
      <c r="H1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Watson, Jack (Student)</dc:creator>
  <cp:keywords/>
  <dc:description/>
  <cp:lastModifiedBy>Okunowo, Samuel (Student)</cp:lastModifiedBy>
  <cp:revision/>
  <dcterms:created xsi:type="dcterms:W3CDTF">2025-10-22T09:16:09Z</dcterms:created>
  <dcterms:modified xsi:type="dcterms:W3CDTF">2025-10-28T16:57:23Z</dcterms:modified>
  <cp:category/>
  <cp:contentStatus/>
</cp:coreProperties>
</file>
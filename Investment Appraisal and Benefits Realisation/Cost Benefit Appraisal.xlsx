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c3026923_hallam_shu_ac_uk/Documents/year3/management-of-it-projects/assessment/"/>
    </mc:Choice>
  </mc:AlternateContent>
  <xr:revisionPtr revIDLastSave="312" documentId="8_{F88FC6B1-2F4D-497E-9D71-C5F9539E5983}" xr6:coauthVersionLast="47" xr6:coauthVersionMax="47" xr10:uidLastSave="{595F5D31-7E45-4185-9BF9-A1BD1A16D13D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" l="1"/>
  <c r="C20" i="1"/>
  <c r="D5" i="1"/>
  <c r="E5" i="1" s="1"/>
  <c r="F5" i="1" s="1"/>
  <c r="G5" i="1" s="1"/>
  <c r="D4" i="1"/>
  <c r="E4" i="1" s="1"/>
  <c r="F4" i="1" s="1"/>
  <c r="G4" i="1" s="1"/>
  <c r="D3" i="1"/>
  <c r="E3" i="1" s="1"/>
  <c r="F3" i="1" s="1"/>
  <c r="G3" i="1" s="1"/>
  <c r="D6" i="1"/>
  <c r="E6" i="1" s="1"/>
  <c r="F6" i="1" s="1"/>
  <c r="G6" i="1" s="1"/>
  <c r="D7" i="1"/>
  <c r="E7" i="1" s="1"/>
  <c r="F7" i="1" s="1"/>
  <c r="G7" i="1" s="1"/>
  <c r="D8" i="1"/>
  <c r="E8" i="1" s="1"/>
  <c r="F8" i="1" s="1"/>
  <c r="G8" i="1" s="1"/>
  <c r="H3" i="1"/>
  <c r="H8" i="1"/>
  <c r="B9" i="1"/>
  <c r="H5" i="1"/>
  <c r="H6" i="1"/>
  <c r="H7" i="1"/>
  <c r="H15" i="1"/>
  <c r="H13" i="1"/>
  <c r="H4" i="1"/>
  <c r="C16" i="1" l="1"/>
  <c r="D16" i="1"/>
  <c r="E16" i="1"/>
  <c r="F16" i="1"/>
  <c r="G16" i="1"/>
  <c r="C9" i="1"/>
  <c r="D9" i="1"/>
  <c r="E9" i="1"/>
  <c r="E20" i="1" s="1"/>
  <c r="F9" i="1"/>
  <c r="G9" i="1"/>
  <c r="H9" i="1"/>
  <c r="F20" i="1" l="1"/>
  <c r="D20" i="1"/>
  <c r="B10" i="1"/>
  <c r="C10" i="1" l="1"/>
  <c r="D10" i="1" s="1"/>
  <c r="E10" i="1" s="1"/>
  <c r="F10" i="1" s="1"/>
  <c r="G10" i="1" s="1"/>
  <c r="H14" i="1" l="1"/>
  <c r="H16" i="1" s="1"/>
  <c r="B16" i="1"/>
  <c r="B17" i="1" l="1"/>
  <c r="C17" i="1" s="1"/>
  <c r="D17" i="1" s="1"/>
  <c r="E17" i="1" s="1"/>
  <c r="F17" i="1" s="1"/>
  <c r="G17" i="1" s="1"/>
  <c r="B20" i="1"/>
  <c r="H20" i="1" s="1"/>
  <c r="B21" i="1" l="1"/>
  <c r="C21" i="1" s="1"/>
  <c r="D21" i="1" l="1"/>
  <c r="E21" i="1" s="1"/>
  <c r="F21" i="1" s="1"/>
  <c r="G21" i="1" s="1"/>
</calcChain>
</file>

<file path=xl/sharedStrings.xml><?xml version="1.0" encoding="utf-8"?>
<sst xmlns="http://schemas.openxmlformats.org/spreadsheetml/2006/main" count="51" uniqueCount="34">
  <si>
    <t>Start-up</t>
  </si>
  <si>
    <t>Year 1</t>
  </si>
  <si>
    <t>Year 2</t>
  </si>
  <si>
    <t>Year 3</t>
  </si>
  <si>
    <t>Year 4</t>
  </si>
  <si>
    <t>Year 5</t>
  </si>
  <si>
    <t>Totals</t>
  </si>
  <si>
    <t>Notes</t>
  </si>
  <si>
    <t>Costs</t>
  </si>
  <si>
    <t>The below costs are estimates for 10,000 users</t>
  </si>
  <si>
    <t>Capital (Development)</t>
  </si>
  <si>
    <t>The budget for the entire development of the application.</t>
  </si>
  <si>
    <r>
      <rPr>
        <sz val="11"/>
        <color rgb="FF000000"/>
        <rFont val="Calibri"/>
        <scheme val="minor"/>
      </rPr>
      <t>Capital (</t>
    </r>
    <r>
      <rPr>
        <sz val="11"/>
        <color rgb="FFBFBFBF"/>
        <rFont val="Calibri"/>
        <scheme val="minor"/>
      </rPr>
      <t>Cloud services +</t>
    </r>
    <r>
      <rPr>
        <sz val="11"/>
        <color rgb="FF000000"/>
        <rFont val="Calibri"/>
        <scheme val="minor"/>
      </rPr>
      <t xml:space="preserve"> Database)</t>
    </r>
  </si>
  <si>
    <t>~£100 monthly hosting costs</t>
  </si>
  <si>
    <t>Capital (Marketing)</t>
  </si>
  <si>
    <t>£10,000 for digital adverts (social media, Google Ads), a couple outdoor posters, minimal to no agency help</t>
  </si>
  <si>
    <t>Current (Cloud services)</t>
  </si>
  <si>
    <t>Yearly cloud hosting, database and API calls</t>
  </si>
  <si>
    <t>Current (Licensing)</t>
  </si>
  <si>
    <t>£28,800 for OpenStreetMap (which is free) with Mapbox on top (Static Tiles  + Directions API)</t>
  </si>
  <si>
    <t>Maintenance</t>
  </si>
  <si>
    <t>Total</t>
  </si>
  <si>
    <t>Cummulative Total</t>
  </si>
  <si>
    <t>Benefits</t>
  </si>
  <si>
    <t xml:space="preserve">      </t>
  </si>
  <si>
    <t>Revenue</t>
  </si>
  <si>
    <t>•£1,620 yearly from ad revenue (one ad per session for 10,000 users)
•£36,000 yearly from 10% comission on ticket sales (30p per £3 ticket)</t>
  </si>
  <si>
    <t>Savings</t>
  </si>
  <si>
    <t>Other</t>
  </si>
  <si>
    <t>Cumulative Total</t>
  </si>
  <si>
    <t>Return on Investment</t>
  </si>
  <si>
    <t>Yearly</t>
  </si>
  <si>
    <t>Cumulative</t>
  </si>
  <si>
    <t>2026 (Year 2) estimate inflation is 2.6%. 2027 (Year 3) estimate inflation is 2.1%. 2028 (Year 4) estimate inflation is 2.0%. 2029 (Year 5) estimate inflation is 2.9%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</si>
</sst>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;[Red]\-0.0\ "/>
  </numFmts>
  <fonts count="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rgb="FFBFBFB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0" xfId="0" applyFont="1" applyFill="1"/>
    <xf numFmtId="164" fontId="0" fillId="2" borderId="0" xfId="0" applyNumberFormat="1" applyFill="1"/>
    <xf numFmtId="164" fontId="0" fillId="0" borderId="0" xfId="0" applyNumberFormat="1"/>
    <xf numFmtId="164" fontId="2" fillId="2" borderId="0" xfId="0" applyNumberFormat="1" applyFont="1" applyFill="1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tabSelected="1" workbookViewId="0">
      <selection activeCell="E13" sqref="E13"/>
    </sheetView>
  </sheetViews>
  <sheetFormatPr defaultRowHeight="15"/>
  <cols>
    <col min="1" max="1" width="32.7109375" customWidth="1"/>
    <col min="2" max="2" width="10" bestFit="1" customWidth="1"/>
    <col min="8" max="8" width="9.140625" bestFit="1" customWidth="1"/>
    <col min="9" max="9" width="95.7109375" customWidth="1"/>
  </cols>
  <sheetData>
    <row r="1" spans="1:10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10">
      <c r="A2" s="2" t="s">
        <v>8</v>
      </c>
      <c r="B2" s="1"/>
      <c r="C2" s="1"/>
      <c r="D2" s="1"/>
      <c r="E2" s="1"/>
      <c r="F2" s="1"/>
      <c r="G2" s="3"/>
      <c r="H2" s="1"/>
      <c r="I2" t="s">
        <v>9</v>
      </c>
    </row>
    <row r="3" spans="1:10">
      <c r="A3" t="s">
        <v>10</v>
      </c>
      <c r="B3" s="4">
        <v>65000</v>
      </c>
      <c r="C3" s="4">
        <v>0</v>
      </c>
      <c r="D3" s="4">
        <f>C3+(C3*0.026)</f>
        <v>0</v>
      </c>
      <c r="E3" s="4">
        <f>D3+(D3*0.21)</f>
        <v>0</v>
      </c>
      <c r="F3" s="4">
        <f>E3+(E3*0.02)</f>
        <v>0</v>
      </c>
      <c r="G3" s="4">
        <f>F3+(F3*0.029)</f>
        <v>0</v>
      </c>
      <c r="H3" s="3">
        <f>SUM(B3:G3)</f>
        <v>65000</v>
      </c>
      <c r="I3" t="s">
        <v>11</v>
      </c>
    </row>
    <row r="4" spans="1:10">
      <c r="A4" s="7" t="s">
        <v>12</v>
      </c>
      <c r="B4" s="4">
        <v>0</v>
      </c>
      <c r="C4" s="4">
        <v>1200</v>
      </c>
      <c r="D4" s="4">
        <f>C4+(C4*0.026)</f>
        <v>1231.2</v>
      </c>
      <c r="E4" s="4">
        <f>D4+(D4*0.021)</f>
        <v>1257.0552</v>
      </c>
      <c r="F4" s="4">
        <f>E4+(E4*0.02)</f>
        <v>1282.1963040000001</v>
      </c>
      <c r="G4" s="4">
        <f>F4+(F4*0.029)</f>
        <v>1319.3799968160001</v>
      </c>
      <c r="H4" s="3">
        <f>SUM(B4:G4)</f>
        <v>6289.8315008159998</v>
      </c>
      <c r="I4" t="s">
        <v>13</v>
      </c>
    </row>
    <row r="5" spans="1:10">
      <c r="A5" s="6" t="s">
        <v>14</v>
      </c>
      <c r="B5" s="4">
        <v>0</v>
      </c>
      <c r="C5" s="4">
        <v>10000</v>
      </c>
      <c r="D5" s="4">
        <f>C5+(C5*0.026)</f>
        <v>10260</v>
      </c>
      <c r="E5" s="4">
        <f>D5+(D5*0.21)</f>
        <v>12414.6</v>
      </c>
      <c r="F5" s="4">
        <f>E5+(E5*0.02)</f>
        <v>12662.892</v>
      </c>
      <c r="G5" s="4">
        <f>F5+(F5*0.029)</f>
        <v>13030.115868000001</v>
      </c>
      <c r="H5" s="3">
        <f t="shared" ref="H5:H7" si="0">SUM(B5:G5)</f>
        <v>58367.607867999999</v>
      </c>
      <c r="I5" t="s">
        <v>15</v>
      </c>
    </row>
    <row r="6" spans="1:10">
      <c r="A6" t="s">
        <v>16</v>
      </c>
      <c r="B6" s="4">
        <v>0</v>
      </c>
      <c r="C6" s="4">
        <v>1200</v>
      </c>
      <c r="D6" s="4">
        <f>C6+(C6*0.026)</f>
        <v>1231.2</v>
      </c>
      <c r="E6" s="4">
        <f>D6+(D6*0.21)</f>
        <v>1489.752</v>
      </c>
      <c r="F6" s="4">
        <f>E6+(E6*0.02)</f>
        <v>1519.5470399999999</v>
      </c>
      <c r="G6" s="4">
        <f>F6+(F6*0.029)</f>
        <v>1563.6139041599999</v>
      </c>
      <c r="H6" s="3">
        <f t="shared" si="0"/>
        <v>7004.1129441599996</v>
      </c>
      <c r="I6" t="s">
        <v>17</v>
      </c>
    </row>
    <row r="7" spans="1:10">
      <c r="A7" t="s">
        <v>18</v>
      </c>
      <c r="B7" s="4">
        <v>0</v>
      </c>
      <c r="C7" s="4">
        <v>28800</v>
      </c>
      <c r="D7" s="4">
        <f>C7+(C7*0.026)</f>
        <v>29548.799999999999</v>
      </c>
      <c r="E7" s="4">
        <f>D7+(D7*0.21)</f>
        <v>35754.047999999995</v>
      </c>
      <c r="F7" s="4">
        <f>E7+(E7*0.02)</f>
        <v>36469.128959999995</v>
      </c>
      <c r="G7" s="4">
        <f>F7+(F7*0.029)</f>
        <v>37526.733699839991</v>
      </c>
      <c r="H7" s="3">
        <f t="shared" si="0"/>
        <v>168098.71065984</v>
      </c>
      <c r="I7" t="s">
        <v>19</v>
      </c>
    </row>
    <row r="8" spans="1:10">
      <c r="A8" t="s">
        <v>20</v>
      </c>
      <c r="B8" s="4">
        <v>0</v>
      </c>
      <c r="C8" s="4">
        <v>2000</v>
      </c>
      <c r="D8" s="4">
        <f>C8+(C8*0.026)</f>
        <v>2052</v>
      </c>
      <c r="E8" s="4">
        <f>D8+(D8*0.21)</f>
        <v>2482.92</v>
      </c>
      <c r="F8" s="4">
        <f>E8+(E8*0.02)</f>
        <v>2532.5783999999999</v>
      </c>
      <c r="G8" s="4">
        <f>F8+(F8*0.029)</f>
        <v>2606.0231736000001</v>
      </c>
      <c r="H8" s="3">
        <f>SUM(B8:G8)</f>
        <v>11673.521573600001</v>
      </c>
    </row>
    <row r="9" spans="1:10">
      <c r="A9" s="1" t="s">
        <v>21</v>
      </c>
      <c r="B9" s="3">
        <f>SUM(B4:B8)</f>
        <v>0</v>
      </c>
      <c r="C9" s="3">
        <f>SUM(C4:C8)</f>
        <v>43200</v>
      </c>
      <c r="D9" s="3">
        <f>SUM(D4:D8)</f>
        <v>44323.199999999997</v>
      </c>
      <c r="E9" s="3">
        <f>SUM(E4:E8)</f>
        <v>53398.375199999995</v>
      </c>
      <c r="F9" s="3">
        <f>SUM(F4:F8)</f>
        <v>54466.342703999995</v>
      </c>
      <c r="G9" s="3">
        <f>SUM(G4:G8)</f>
        <v>56045.866642415989</v>
      </c>
      <c r="H9" s="3">
        <f>SUM(H4:H8)</f>
        <v>251433.78454641602</v>
      </c>
    </row>
    <row r="10" spans="1:10">
      <c r="A10" s="1" t="s">
        <v>22</v>
      </c>
      <c r="B10" s="3">
        <f>B9</f>
        <v>0</v>
      </c>
      <c r="C10" s="3">
        <f>C9+B10</f>
        <v>43200</v>
      </c>
      <c r="D10" s="3">
        <f t="shared" ref="D10:G10" si="1">D9+C10</f>
        <v>87523.199999999997</v>
      </c>
      <c r="E10" s="3">
        <f t="shared" si="1"/>
        <v>140921.57519999999</v>
      </c>
      <c r="F10" s="3">
        <f t="shared" si="1"/>
        <v>195387.91790399997</v>
      </c>
      <c r="G10" s="3">
        <f t="shared" si="1"/>
        <v>251433.78454641596</v>
      </c>
      <c r="H10" s="3"/>
    </row>
    <row r="11" spans="1:10">
      <c r="A11" s="1"/>
      <c r="B11" s="4"/>
      <c r="C11" s="4"/>
      <c r="D11" s="4"/>
      <c r="E11" s="4"/>
      <c r="F11" s="4"/>
      <c r="G11" s="4"/>
      <c r="H11" s="4"/>
    </row>
    <row r="12" spans="1:10">
      <c r="A12" s="2" t="s">
        <v>23</v>
      </c>
      <c r="B12" s="5" t="s">
        <v>0</v>
      </c>
      <c r="C12" s="5" t="s">
        <v>1</v>
      </c>
      <c r="D12" s="5" t="s">
        <v>2</v>
      </c>
      <c r="E12" s="5" t="s">
        <v>3</v>
      </c>
      <c r="F12" s="5" t="s">
        <v>4</v>
      </c>
      <c r="G12" s="5" t="s">
        <v>5</v>
      </c>
      <c r="H12" s="5" t="s">
        <v>6</v>
      </c>
      <c r="I12" s="2" t="s">
        <v>7</v>
      </c>
      <c r="J12" t="s">
        <v>24</v>
      </c>
    </row>
    <row r="13" spans="1:10" ht="30.75">
      <c r="A13" s="1" t="s">
        <v>25</v>
      </c>
      <c r="B13" s="4">
        <v>0</v>
      </c>
      <c r="C13" s="4">
        <v>37620</v>
      </c>
      <c r="D13" s="4">
        <v>37620</v>
      </c>
      <c r="E13" s="4">
        <v>37620</v>
      </c>
      <c r="F13" s="4">
        <v>37620</v>
      </c>
      <c r="G13" s="4">
        <v>37620</v>
      </c>
      <c r="H13" s="3">
        <f>SUM(B13:G13)</f>
        <v>188100</v>
      </c>
      <c r="I13" s="6" t="s">
        <v>26</v>
      </c>
    </row>
    <row r="14" spans="1:10">
      <c r="A14" s="1" t="s">
        <v>27</v>
      </c>
      <c r="B14" s="4">
        <v>0</v>
      </c>
      <c r="C14" s="4"/>
      <c r="D14" s="4"/>
      <c r="E14" s="4"/>
      <c r="F14" s="4"/>
      <c r="G14" s="4"/>
      <c r="H14" s="3">
        <f t="shared" ref="H14:H15" si="2">SUM(B14:G14)</f>
        <v>0</v>
      </c>
    </row>
    <row r="15" spans="1:10">
      <c r="A15" s="1" t="s">
        <v>28</v>
      </c>
      <c r="B15" s="4"/>
      <c r="C15" s="4"/>
      <c r="D15" s="4"/>
      <c r="E15" s="4"/>
      <c r="F15" s="4"/>
      <c r="G15" s="4"/>
      <c r="H15" s="3">
        <f t="shared" si="2"/>
        <v>0</v>
      </c>
    </row>
    <row r="16" spans="1:10">
      <c r="A16" s="1" t="s">
        <v>21</v>
      </c>
      <c r="B16" s="3">
        <f>SUM(B13:B15)</f>
        <v>0</v>
      </c>
      <c r="C16" s="3">
        <f t="shared" ref="C16:H16" si="3">SUM(C13:C15)</f>
        <v>37620</v>
      </c>
      <c r="D16" s="3">
        <f t="shared" si="3"/>
        <v>37620</v>
      </c>
      <c r="E16" s="3">
        <f t="shared" si="3"/>
        <v>37620</v>
      </c>
      <c r="F16" s="3">
        <f t="shared" si="3"/>
        <v>37620</v>
      </c>
      <c r="G16" s="3">
        <f t="shared" si="3"/>
        <v>37620</v>
      </c>
      <c r="H16" s="3">
        <f t="shared" si="3"/>
        <v>188100</v>
      </c>
    </row>
    <row r="17" spans="1:9">
      <c r="A17" s="1" t="s">
        <v>29</v>
      </c>
      <c r="B17" s="3">
        <f>B16</f>
        <v>0</v>
      </c>
      <c r="C17" s="3">
        <f>C16+B17</f>
        <v>37620</v>
      </c>
      <c r="D17" s="3">
        <f t="shared" ref="D17" si="4">D16+C17</f>
        <v>75240</v>
      </c>
      <c r="E17" s="3">
        <f t="shared" ref="E17" si="5">E16+D17</f>
        <v>112860</v>
      </c>
      <c r="F17" s="3">
        <f t="shared" ref="F17" si="6">F16+E17</f>
        <v>150480</v>
      </c>
      <c r="G17" s="3">
        <f t="shared" ref="G17" si="7">G16+F17</f>
        <v>188100</v>
      </c>
      <c r="H17" s="3"/>
    </row>
    <row r="18" spans="1:9">
      <c r="A18" s="1"/>
      <c r="B18" s="4"/>
      <c r="C18" s="4"/>
      <c r="D18" s="4"/>
      <c r="E18" s="4"/>
      <c r="F18" s="4"/>
      <c r="G18" s="4"/>
      <c r="H18" s="4"/>
    </row>
    <row r="19" spans="1:9">
      <c r="A19" s="2" t="s">
        <v>30</v>
      </c>
      <c r="B19" s="5" t="s">
        <v>0</v>
      </c>
      <c r="C19" s="5" t="s">
        <v>1</v>
      </c>
      <c r="D19" s="5" t="s">
        <v>2</v>
      </c>
      <c r="E19" s="5" t="s">
        <v>3</v>
      </c>
      <c r="F19" s="5" t="s">
        <v>4</v>
      </c>
      <c r="G19" s="5" t="s">
        <v>5</v>
      </c>
      <c r="H19" s="5" t="s">
        <v>6</v>
      </c>
      <c r="I19" s="2" t="s">
        <v>7</v>
      </c>
    </row>
    <row r="20" spans="1:9">
      <c r="A20" s="1" t="s">
        <v>31</v>
      </c>
      <c r="B20" s="3">
        <f>B16-B9</f>
        <v>0</v>
      </c>
      <c r="C20" s="3">
        <f>C16-C9</f>
        <v>-5580</v>
      </c>
      <c r="D20" s="3">
        <f t="shared" ref="C20:G20" si="8">D16-D9</f>
        <v>-6703.1999999999971</v>
      </c>
      <c r="E20" s="3">
        <f t="shared" si="8"/>
        <v>-15778.375199999995</v>
      </c>
      <c r="F20" s="3">
        <f t="shared" si="8"/>
        <v>-16846.342703999995</v>
      </c>
      <c r="G20" s="3">
        <f>G16-G9</f>
        <v>-18425.866642415989</v>
      </c>
      <c r="H20" s="3">
        <f>SUM(B20:G20)</f>
        <v>-63333.784546415976</v>
      </c>
    </row>
    <row r="21" spans="1:9">
      <c r="A21" s="1" t="s">
        <v>32</v>
      </c>
      <c r="B21" s="3">
        <f>B20</f>
        <v>0</v>
      </c>
      <c r="C21" s="3">
        <f>C20+B21</f>
        <v>-5580</v>
      </c>
      <c r="D21" s="3">
        <f>D20+C21</f>
        <v>-12283.199999999997</v>
      </c>
      <c r="E21" s="3">
        <f>E20+D21</f>
        <v>-28061.575199999992</v>
      </c>
      <c r="F21" s="3">
        <f>F20+E21</f>
        <v>-44907.917903999987</v>
      </c>
      <c r="G21" s="3">
        <f t="shared" ref="G21" si="9">G20+F21</f>
        <v>-63333.784546415976</v>
      </c>
      <c r="H21" s="3"/>
    </row>
    <row r="22" spans="1:9">
      <c r="B22" s="4"/>
      <c r="C22" s="4"/>
      <c r="D22" s="4"/>
      <c r="E22" s="4"/>
      <c r="F22" s="4"/>
      <c r="G22" s="4"/>
      <c r="H22" s="4"/>
    </row>
    <row r="24" spans="1:9">
      <c r="A24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Sheffield Hallam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 Keefe</dc:creator>
  <cp:keywords/>
  <dc:description/>
  <cp:lastModifiedBy>Morris, Javani (Student)</cp:lastModifiedBy>
  <cp:revision/>
  <dcterms:created xsi:type="dcterms:W3CDTF">2012-10-31T14:48:39Z</dcterms:created>
  <dcterms:modified xsi:type="dcterms:W3CDTF">2025-10-29T10:13:45Z</dcterms:modified>
  <cp:category/>
  <cp:contentStatus/>
</cp:coreProperties>
</file>